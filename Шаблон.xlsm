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projects\APSParcer\"/>
    </mc:Choice>
  </mc:AlternateContent>
  <xr:revisionPtr revIDLastSave="0" documentId="13_ncr:1_{13406A70-3648-4801-AD97-CD22D83B4A42}" xr6:coauthVersionLast="47" xr6:coauthVersionMax="47" xr10:uidLastSave="{00000000-0000-0000-0000-000000000000}"/>
  <bookViews>
    <workbookView xWindow="-108" yWindow="-108" windowWidth="23256" windowHeight="12576" xr2:uid="{3D3905B9-BC24-45EB-8CB9-6CA8C54C5533}"/>
  </bookViews>
  <sheets>
    <sheet name="WV 4.0" sheetId="2" r:id="rId1"/>
    <sheet name="КП" sheetId="6" r:id="rId2"/>
  </sheets>
  <functionGroups builtInGroupCount="19"/>
  <externalReferences>
    <externalReference r:id="rId3"/>
  </externalReferences>
  <definedNames>
    <definedName name="_xlpm.x" hidden="1" xlm="1">#NAME?</definedName>
    <definedName name="_xlpm.y" hidden="1" xlm="1">#NAME?</definedName>
    <definedName name="_xlpm.результат" hidden="1" xlm="1">#NAME?</definedName>
    <definedName name="_xlpm.шаг" hidden="1" xlm="1">#NAME?</definedName>
    <definedName name="_xlnm._FilterDatabase" localSheetId="0" hidden="1">'WV 4.0'!$A$1:$N$500</definedName>
    <definedName name="asd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Акция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Действующая">#REF!</definedName>
    <definedName name="Менеджер">'[1]Бланк КП'!$C$3:$C$12</definedName>
    <definedName name="_xlnm.Print_Area" localSheetId="1">КП!$A$1:$I$512</definedName>
    <definedName name="Срез_Артикул">#N/A</definedName>
    <definedName name="Срез_Бренд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13" i="6" l="1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293" i="6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389" i="6"/>
  <c r="N390" i="6"/>
  <c r="N391" i="6"/>
  <c r="N392" i="6"/>
  <c r="N393" i="6"/>
  <c r="N394" i="6"/>
  <c r="N395" i="6"/>
  <c r="N396" i="6"/>
  <c r="N397" i="6"/>
  <c r="N398" i="6"/>
  <c r="N399" i="6"/>
  <c r="N400" i="6"/>
  <c r="N401" i="6"/>
  <c r="N402" i="6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N420" i="6"/>
  <c r="N421" i="6"/>
  <c r="N422" i="6"/>
  <c r="N423" i="6"/>
  <c r="N424" i="6"/>
  <c r="N425" i="6"/>
  <c r="N426" i="6"/>
  <c r="N427" i="6"/>
  <c r="N428" i="6"/>
  <c r="N429" i="6"/>
  <c r="N430" i="6"/>
  <c r="N431" i="6"/>
  <c r="N432" i="6"/>
  <c r="N433" i="6"/>
  <c r="N434" i="6"/>
  <c r="N435" i="6"/>
  <c r="N436" i="6"/>
  <c r="N437" i="6"/>
  <c r="N438" i="6"/>
  <c r="N439" i="6"/>
  <c r="N440" i="6"/>
  <c r="N441" i="6"/>
  <c r="N442" i="6"/>
  <c r="N443" i="6"/>
  <c r="N444" i="6"/>
  <c r="N445" i="6"/>
  <c r="N446" i="6"/>
  <c r="N447" i="6"/>
  <c r="N448" i="6"/>
  <c r="N449" i="6"/>
  <c r="N450" i="6"/>
  <c r="N451" i="6"/>
  <c r="N452" i="6"/>
  <c r="N453" i="6"/>
  <c r="N454" i="6"/>
  <c r="N455" i="6"/>
  <c r="N456" i="6"/>
  <c r="N457" i="6"/>
  <c r="N458" i="6"/>
  <c r="N459" i="6"/>
  <c r="N460" i="6"/>
  <c r="N461" i="6"/>
  <c r="N462" i="6"/>
  <c r="N463" i="6"/>
  <c r="N464" i="6"/>
  <c r="N465" i="6"/>
  <c r="N466" i="6"/>
  <c r="N467" i="6"/>
  <c r="N468" i="6"/>
  <c r="N469" i="6"/>
  <c r="N470" i="6"/>
  <c r="N471" i="6"/>
  <c r="N472" i="6"/>
  <c r="N473" i="6"/>
  <c r="N474" i="6"/>
  <c r="N475" i="6"/>
  <c r="N476" i="6"/>
  <c r="N477" i="6"/>
  <c r="N478" i="6"/>
  <c r="N479" i="6"/>
  <c r="N480" i="6"/>
  <c r="N481" i="6"/>
  <c r="N482" i="6"/>
  <c r="N483" i="6"/>
  <c r="N484" i="6"/>
  <c r="N485" i="6"/>
  <c r="N486" i="6"/>
  <c r="N487" i="6"/>
  <c r="N488" i="6"/>
  <c r="N489" i="6"/>
  <c r="N490" i="6"/>
  <c r="N491" i="6"/>
  <c r="N492" i="6"/>
  <c r="N493" i="6"/>
  <c r="N494" i="6"/>
  <c r="N495" i="6"/>
  <c r="N496" i="6"/>
  <c r="N497" i="6"/>
  <c r="N498" i="6"/>
  <c r="N499" i="6"/>
  <c r="N500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456" i="6"/>
  <c r="M457" i="6"/>
  <c r="M458" i="6"/>
  <c r="M459" i="6"/>
  <c r="M460" i="6"/>
  <c r="M461" i="6"/>
  <c r="M462" i="6"/>
  <c r="M463" i="6"/>
  <c r="M464" i="6"/>
  <c r="M465" i="6"/>
  <c r="M466" i="6"/>
  <c r="M467" i="6"/>
  <c r="M468" i="6"/>
  <c r="M469" i="6"/>
  <c r="M470" i="6"/>
  <c r="M471" i="6"/>
  <c r="M472" i="6"/>
  <c r="M473" i="6"/>
  <c r="M474" i="6"/>
  <c r="M475" i="6"/>
  <c r="M476" i="6"/>
  <c r="M477" i="6"/>
  <c r="M478" i="6"/>
  <c r="M479" i="6"/>
  <c r="M480" i="6"/>
  <c r="M481" i="6"/>
  <c r="M482" i="6"/>
  <c r="M483" i="6"/>
  <c r="M484" i="6"/>
  <c r="M485" i="6"/>
  <c r="M486" i="6"/>
  <c r="M487" i="6"/>
  <c r="M488" i="6"/>
  <c r="M489" i="6"/>
  <c r="M490" i="6"/>
  <c r="M491" i="6"/>
  <c r="M492" i="6"/>
  <c r="M493" i="6"/>
  <c r="M494" i="6"/>
  <c r="M495" i="6"/>
  <c r="M496" i="6"/>
  <c r="M497" i="6"/>
  <c r="M498" i="6"/>
  <c r="M499" i="6"/>
  <c r="M500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13" i="6"/>
  <c r="C13" i="6"/>
  <c r="A13" i="6"/>
  <c r="L378" i="6" l="1"/>
  <c r="F411" i="6"/>
  <c r="G411" i="6" s="1"/>
  <c r="L380" i="6"/>
  <c r="F423" i="6"/>
  <c r="G423" i="6" s="1"/>
  <c r="L458" i="6"/>
  <c r="L373" i="6"/>
  <c r="F44" i="6"/>
  <c r="G44" i="6" s="1"/>
  <c r="F116" i="6"/>
  <c r="G116" i="6" s="1"/>
  <c r="L369" i="6"/>
  <c r="F232" i="6"/>
  <c r="G232" i="6" s="1"/>
  <c r="L365" i="6"/>
  <c r="F328" i="6"/>
  <c r="G328" i="6" s="1"/>
  <c r="F208" i="6"/>
  <c r="G208" i="6" s="1"/>
  <c r="L155" i="6"/>
  <c r="F442" i="6"/>
  <c r="G442" i="6" s="1"/>
  <c r="L488" i="6"/>
  <c r="F224" i="6"/>
  <c r="G224" i="6" s="1"/>
  <c r="F190" i="6"/>
  <c r="G190" i="6" s="1"/>
  <c r="F251" i="6"/>
  <c r="G251" i="6" s="1"/>
  <c r="F270" i="6"/>
  <c r="G270" i="6" s="1"/>
  <c r="F138" i="6"/>
  <c r="G138" i="6" s="1"/>
  <c r="F290" i="6"/>
  <c r="G290" i="6" s="1"/>
  <c r="F482" i="6"/>
  <c r="G482" i="6" s="1"/>
  <c r="F388" i="6"/>
  <c r="G388" i="6" s="1"/>
  <c r="L242" i="6"/>
  <c r="F72" i="6"/>
  <c r="G72" i="6" s="1"/>
  <c r="L452" i="6"/>
  <c r="F332" i="6"/>
  <c r="G332" i="6" s="1"/>
  <c r="L423" i="6"/>
  <c r="L441" i="6"/>
  <c r="F392" i="6"/>
  <c r="G392" i="6" s="1"/>
  <c r="L354" i="6"/>
  <c r="L455" i="6"/>
  <c r="F200" i="6"/>
  <c r="G200" i="6" s="1"/>
  <c r="L38" i="6"/>
  <c r="L426" i="6"/>
  <c r="L361" i="6"/>
  <c r="F260" i="6"/>
  <c r="G260" i="6" s="1"/>
  <c r="L39" i="6"/>
  <c r="F272" i="6"/>
  <c r="G272" i="6" s="1"/>
  <c r="L390" i="6"/>
  <c r="F340" i="6"/>
  <c r="G340" i="6" s="1"/>
  <c r="F161" i="6"/>
  <c r="G161" i="6" s="1"/>
  <c r="L143" i="6"/>
  <c r="L494" i="6"/>
  <c r="L400" i="6"/>
  <c r="F492" i="6"/>
  <c r="G492" i="6" s="1"/>
  <c r="L90" i="6"/>
  <c r="F439" i="6"/>
  <c r="G439" i="6" s="1"/>
  <c r="F393" i="6"/>
  <c r="G393" i="6" s="1"/>
  <c r="F430" i="6"/>
  <c r="G430" i="6" s="1"/>
  <c r="F374" i="6"/>
  <c r="G374" i="6" s="1"/>
  <c r="F284" i="6"/>
  <c r="G284" i="6" s="1"/>
  <c r="F472" i="6"/>
  <c r="G472" i="6" s="1"/>
  <c r="F415" i="6"/>
  <c r="G415" i="6" s="1"/>
  <c r="F274" i="6"/>
  <c r="G274" i="6" s="1"/>
  <c r="F496" i="6"/>
  <c r="G496" i="6" s="1"/>
  <c r="L315" i="6"/>
  <c r="F456" i="6"/>
  <c r="G456" i="6" s="1"/>
  <c r="L173" i="6"/>
  <c r="F157" i="6"/>
  <c r="G157" i="6" s="1"/>
  <c r="F416" i="6"/>
  <c r="G416" i="6" s="1"/>
  <c r="L438" i="6"/>
  <c r="F33" i="6"/>
  <c r="G33" i="6" s="1"/>
  <c r="L216" i="6"/>
  <c r="F252" i="6"/>
  <c r="G252" i="6" s="1"/>
  <c r="L200" i="6"/>
  <c r="F275" i="6"/>
  <c r="G275" i="6" s="1"/>
  <c r="F83" i="6"/>
  <c r="G83" i="6" s="1"/>
  <c r="F240" i="6"/>
  <c r="G240" i="6" s="1"/>
  <c r="L50" i="6"/>
  <c r="F207" i="6"/>
  <c r="G207" i="6" s="1"/>
  <c r="L161" i="6"/>
  <c r="F436" i="6"/>
  <c r="G436" i="6" s="1"/>
  <c r="L202" i="6"/>
  <c r="L412" i="6"/>
  <c r="L363" i="6"/>
  <c r="L334" i="6"/>
  <c r="F389" i="6"/>
  <c r="G389" i="6" s="1"/>
  <c r="F198" i="6"/>
  <c r="G198" i="6" s="1"/>
  <c r="L87" i="6"/>
  <c r="L484" i="6"/>
  <c r="L350" i="6"/>
  <c r="F455" i="6"/>
  <c r="G455" i="6" s="1"/>
  <c r="L130" i="6"/>
  <c r="L132" i="6"/>
  <c r="L122" i="6"/>
  <c r="L444" i="6"/>
  <c r="F474" i="6"/>
  <c r="G474" i="6" s="1"/>
  <c r="L269" i="6"/>
  <c r="L268" i="6"/>
  <c r="L480" i="6"/>
  <c r="F443" i="6"/>
  <c r="G443" i="6" s="1"/>
  <c r="L430" i="6"/>
  <c r="L388" i="6"/>
  <c r="F483" i="6"/>
  <c r="G483" i="6" s="1"/>
  <c r="F295" i="6"/>
  <c r="G295" i="6" s="1"/>
  <c r="L178" i="6"/>
  <c r="F409" i="6"/>
  <c r="G409" i="6" s="1"/>
  <c r="F245" i="6"/>
  <c r="G245" i="6" s="1"/>
  <c r="L259" i="6"/>
  <c r="F265" i="6"/>
  <c r="G265" i="6" s="1"/>
  <c r="L247" i="6"/>
  <c r="L92" i="6"/>
  <c r="L478" i="6"/>
  <c r="F379" i="6"/>
  <c r="G379" i="6" s="1"/>
  <c r="L24" i="6"/>
  <c r="L195" i="6"/>
  <c r="F113" i="6"/>
  <c r="G113" i="6" s="1"/>
  <c r="L188" i="6"/>
  <c r="L463" i="6"/>
  <c r="F266" i="6"/>
  <c r="G266" i="6" s="1"/>
  <c r="L385" i="6"/>
  <c r="F432" i="6"/>
  <c r="G432" i="6" s="1"/>
  <c r="L218" i="6"/>
  <c r="F450" i="6"/>
  <c r="G450" i="6" s="1"/>
  <c r="L346" i="6"/>
  <c r="L25" i="6"/>
  <c r="L314" i="6"/>
  <c r="L483" i="6"/>
  <c r="L492" i="6"/>
  <c r="F359" i="6"/>
  <c r="G359" i="6" s="1"/>
  <c r="F87" i="6"/>
  <c r="G87" i="6" s="1"/>
  <c r="L409" i="6"/>
  <c r="L245" i="6"/>
  <c r="F360" i="6"/>
  <c r="G360" i="6" s="1"/>
  <c r="F407" i="6"/>
  <c r="G407" i="6" s="1"/>
  <c r="F446" i="6"/>
  <c r="G446" i="6" s="1"/>
  <c r="L163" i="6"/>
  <c r="L223" i="6"/>
  <c r="L81" i="6"/>
  <c r="F119" i="6"/>
  <c r="G119" i="6" s="1"/>
  <c r="F99" i="6"/>
  <c r="G99" i="6" s="1"/>
  <c r="F384" i="6"/>
  <c r="G384" i="6" s="1"/>
  <c r="F194" i="6"/>
  <c r="G194" i="6" s="1"/>
  <c r="F437" i="6"/>
  <c r="G437" i="6" s="1"/>
  <c r="L439" i="6"/>
  <c r="F111" i="6"/>
  <c r="G111" i="6" s="1"/>
  <c r="L305" i="6"/>
  <c r="L148" i="6"/>
  <c r="L349" i="6"/>
  <c r="F288" i="6"/>
  <c r="G288" i="6" s="1"/>
  <c r="L358" i="6"/>
  <c r="L32" i="6"/>
  <c r="F122" i="6"/>
  <c r="G122" i="6" s="1"/>
  <c r="L456" i="6"/>
  <c r="L171" i="6"/>
  <c r="F205" i="6"/>
  <c r="G205" i="6" s="1"/>
  <c r="F417" i="6"/>
  <c r="G417" i="6" s="1"/>
  <c r="L366" i="6"/>
  <c r="F425" i="6"/>
  <c r="G425" i="6" s="1"/>
  <c r="L112" i="6"/>
  <c r="F381" i="6"/>
  <c r="G381" i="6" s="1"/>
  <c r="L13" i="6"/>
  <c r="L453" i="6"/>
  <c r="L370" i="6"/>
  <c r="L263" i="6"/>
  <c r="F199" i="6"/>
  <c r="G199" i="6" s="1"/>
  <c r="L489" i="6"/>
  <c r="L465" i="6"/>
  <c r="F55" i="6"/>
  <c r="G55" i="6" s="1"/>
  <c r="L396" i="6"/>
  <c r="L352" i="6"/>
  <c r="F336" i="6"/>
  <c r="G336" i="6" s="1"/>
  <c r="L324" i="6"/>
  <c r="F170" i="6"/>
  <c r="G170" i="6" s="1"/>
  <c r="L304" i="6"/>
  <c r="F344" i="6"/>
  <c r="G344" i="6" s="1"/>
  <c r="L127" i="6"/>
  <c r="F176" i="6"/>
  <c r="G176" i="6" s="1"/>
  <c r="F221" i="6"/>
  <c r="G221" i="6" s="1"/>
  <c r="F301" i="6"/>
  <c r="G301" i="6" s="1"/>
  <c r="L226" i="6"/>
  <c r="L191" i="6"/>
  <c r="F346" i="6"/>
  <c r="G346" i="6" s="1"/>
  <c r="L447" i="6"/>
  <c r="F125" i="6"/>
  <c r="G125" i="6" s="1"/>
  <c r="L208" i="6"/>
  <c r="L260" i="6"/>
  <c r="F287" i="6"/>
  <c r="G287" i="6" s="1"/>
  <c r="L377" i="6"/>
  <c r="F426" i="6"/>
  <c r="G426" i="6" s="1"/>
  <c r="L37" i="6"/>
  <c r="L160" i="6"/>
  <c r="F394" i="6"/>
  <c r="G394" i="6" s="1"/>
  <c r="L30" i="6"/>
  <c r="L341" i="6"/>
  <c r="L395" i="6"/>
  <c r="F485" i="6"/>
  <c r="G485" i="6" s="1"/>
  <c r="L487" i="6"/>
  <c r="L446" i="6"/>
  <c r="F43" i="6"/>
  <c r="G43" i="6" s="1"/>
  <c r="F428" i="6"/>
  <c r="G428" i="6" s="1"/>
  <c r="L300" i="6"/>
  <c r="F36" i="6"/>
  <c r="G36" i="6" s="1"/>
  <c r="F297" i="6"/>
  <c r="G297" i="6" s="1"/>
  <c r="L153" i="6"/>
  <c r="F327" i="6"/>
  <c r="G327" i="6" s="1"/>
  <c r="F403" i="6"/>
  <c r="G403" i="6" s="1"/>
  <c r="F74" i="6"/>
  <c r="G74" i="6" s="1"/>
  <c r="L470" i="6"/>
  <c r="F214" i="6"/>
  <c r="G214" i="6" s="1"/>
  <c r="L183" i="6"/>
  <c r="L425" i="6"/>
  <c r="F356" i="6"/>
  <c r="G356" i="6" s="1"/>
  <c r="F254" i="6"/>
  <c r="G254" i="6" s="1"/>
  <c r="F320" i="6"/>
  <c r="G320" i="6" s="1"/>
  <c r="F400" i="6"/>
  <c r="G400" i="6" s="1"/>
  <c r="F453" i="6"/>
  <c r="G453" i="6" s="1"/>
  <c r="L393" i="6"/>
  <c r="F225" i="6"/>
  <c r="G225" i="6" s="1"/>
  <c r="F139" i="6"/>
  <c r="G139" i="6" s="1"/>
  <c r="L124" i="6"/>
  <c r="F155" i="6"/>
  <c r="G155" i="6" s="1"/>
  <c r="F258" i="6"/>
  <c r="G258" i="6" s="1"/>
  <c r="F143" i="6"/>
  <c r="G143" i="6" s="1"/>
  <c r="F467" i="6"/>
  <c r="G467" i="6" s="1"/>
  <c r="L459" i="6"/>
  <c r="F146" i="6"/>
  <c r="G146" i="6" s="1"/>
  <c r="L270" i="6"/>
  <c r="F444" i="6"/>
  <c r="G444" i="6" s="1"/>
  <c r="F289" i="6"/>
  <c r="G289" i="6" s="1"/>
  <c r="F330" i="6"/>
  <c r="G330" i="6" s="1"/>
  <c r="L474" i="6"/>
  <c r="L387" i="6"/>
  <c r="F414" i="6"/>
  <c r="G414" i="6" s="1"/>
  <c r="F333" i="6"/>
  <c r="G333" i="6" s="1"/>
  <c r="F309" i="6"/>
  <c r="G309" i="6" s="1"/>
  <c r="L306" i="6"/>
  <c r="F420" i="6"/>
  <c r="G420" i="6" s="1"/>
  <c r="L286" i="6"/>
  <c r="F341" i="6"/>
  <c r="G341" i="6" s="1"/>
  <c r="L348" i="6"/>
  <c r="F324" i="6"/>
  <c r="G324" i="6" s="1"/>
  <c r="L104" i="6"/>
  <c r="F476" i="6"/>
  <c r="G476" i="6" s="1"/>
  <c r="F298" i="6"/>
  <c r="G298" i="6" s="1"/>
  <c r="L457" i="6"/>
  <c r="F354" i="6"/>
  <c r="G354" i="6" s="1"/>
  <c r="L308" i="6"/>
  <c r="F463" i="6"/>
  <c r="G463" i="6" s="1"/>
  <c r="L198" i="6"/>
  <c r="F352" i="6"/>
  <c r="G352" i="6" s="1"/>
  <c r="F153" i="6"/>
  <c r="G153" i="6" s="1"/>
  <c r="F223" i="6"/>
  <c r="G223" i="6" s="1"/>
  <c r="L256" i="6"/>
  <c r="F378" i="6"/>
  <c r="G378" i="6" s="1"/>
  <c r="F375" i="6"/>
  <c r="G375" i="6" s="1"/>
  <c r="L180" i="6"/>
  <c r="L337" i="6"/>
  <c r="L460" i="6"/>
  <c r="F96" i="6"/>
  <c r="G96" i="6" s="1"/>
  <c r="F398" i="6"/>
  <c r="G398" i="6" s="1"/>
  <c r="L432" i="6"/>
  <c r="L433" i="6"/>
  <c r="F321" i="6"/>
  <c r="G321" i="6" s="1"/>
  <c r="L221" i="6"/>
  <c r="L435" i="6"/>
  <c r="F421" i="6"/>
  <c r="G421" i="6" s="1"/>
  <c r="F480" i="6"/>
  <c r="G480" i="6" s="1"/>
  <c r="L246" i="6"/>
  <c r="L53" i="6"/>
  <c r="F210" i="6"/>
  <c r="G210" i="6" s="1"/>
  <c r="F362" i="6"/>
  <c r="G362" i="6" s="1"/>
  <c r="L403" i="6"/>
  <c r="L477" i="6"/>
  <c r="L375" i="6"/>
  <c r="L61" i="6"/>
  <c r="F382" i="6"/>
  <c r="G382" i="6" s="1"/>
  <c r="F441" i="6"/>
  <c r="G441" i="6" s="1"/>
  <c r="F21" i="6"/>
  <c r="G21" i="6" s="1"/>
  <c r="L429" i="6"/>
  <c r="L323" i="6"/>
  <c r="F494" i="6"/>
  <c r="G494" i="6" s="1"/>
  <c r="F377" i="6"/>
  <c r="G377" i="6" s="1"/>
  <c r="F489" i="6"/>
  <c r="G489" i="6" s="1"/>
  <c r="F68" i="6"/>
  <c r="G68" i="6" s="1"/>
  <c r="F278" i="6"/>
  <c r="G278" i="6" s="1"/>
  <c r="F256" i="6"/>
  <c r="G256" i="6" s="1"/>
  <c r="F390" i="6"/>
  <c r="G390" i="6" s="1"/>
  <c r="L142" i="6"/>
  <c r="L235" i="6"/>
  <c r="F466" i="6"/>
  <c r="G466" i="6" s="1"/>
  <c r="L224" i="6"/>
  <c r="L371" i="6"/>
  <c r="F179" i="6"/>
  <c r="G179" i="6" s="1"/>
  <c r="F343" i="6"/>
  <c r="G343" i="6" s="1"/>
  <c r="L468" i="6"/>
  <c r="L398" i="6"/>
  <c r="L296" i="6"/>
  <c r="L344" i="6"/>
  <c r="F440" i="6"/>
  <c r="G440" i="6" s="1"/>
  <c r="L303" i="6"/>
  <c r="L499" i="6"/>
  <c r="L495" i="6"/>
  <c r="F438" i="6"/>
  <c r="G438" i="6" s="1"/>
  <c r="L167" i="6"/>
  <c r="L322" i="6"/>
  <c r="F470" i="6"/>
  <c r="G470" i="6" s="1"/>
  <c r="F337" i="6"/>
  <c r="G337" i="6" s="1"/>
  <c r="F188" i="6"/>
  <c r="G188" i="6" s="1"/>
  <c r="L47" i="6"/>
  <c r="L461" i="6"/>
  <c r="F351" i="6"/>
  <c r="G351" i="6" s="1"/>
  <c r="F302" i="6"/>
  <c r="G302" i="6" s="1"/>
  <c r="F48" i="6"/>
  <c r="G48" i="6" s="1"/>
  <c r="F316" i="6"/>
  <c r="G316" i="6" s="1"/>
  <c r="F401" i="6"/>
  <c r="G401" i="6" s="1"/>
  <c r="L107" i="6"/>
  <c r="F129" i="6"/>
  <c r="G129" i="6" s="1"/>
  <c r="L105" i="6"/>
  <c r="L335" i="6"/>
  <c r="L384" i="6"/>
  <c r="L170" i="6"/>
  <c r="L404" i="6"/>
  <c r="F133" i="6"/>
  <c r="G133" i="6" s="1"/>
  <c r="L411" i="6"/>
  <c r="L68" i="6"/>
  <c r="F181" i="6"/>
  <c r="G181" i="6" s="1"/>
  <c r="F335" i="6"/>
  <c r="G335" i="6" s="1"/>
  <c r="F365" i="6"/>
  <c r="G365" i="6" s="1"/>
  <c r="L336" i="6"/>
  <c r="F22" i="6"/>
  <c r="G22" i="6" s="1"/>
  <c r="L85" i="6"/>
  <c r="L234" i="6"/>
  <c r="L445" i="6"/>
  <c r="F419" i="6"/>
  <c r="G419" i="6" s="1"/>
  <c r="F465" i="6"/>
  <c r="G465" i="6" s="1"/>
  <c r="L295" i="6"/>
  <c r="F412" i="6"/>
  <c r="G412" i="6" s="1"/>
  <c r="L419" i="6"/>
  <c r="L231" i="6"/>
  <c r="F500" i="6"/>
  <c r="G500" i="6" s="1"/>
  <c r="L355" i="6"/>
  <c r="F422" i="6"/>
  <c r="G422" i="6" s="1"/>
  <c r="L401" i="6"/>
  <c r="L340" i="6"/>
  <c r="L159" i="6"/>
  <c r="L43" i="6"/>
  <c r="L84" i="6"/>
  <c r="L408" i="6"/>
  <c r="F269" i="6"/>
  <c r="G269" i="6" s="1"/>
  <c r="F481" i="6"/>
  <c r="G481" i="6" s="1"/>
  <c r="L328" i="6"/>
  <c r="L486" i="6"/>
  <c r="F322" i="6"/>
  <c r="G322" i="6" s="1"/>
  <c r="L420" i="6"/>
  <c r="F268" i="6"/>
  <c r="G268" i="6" s="1"/>
  <c r="L285" i="6"/>
  <c r="L179" i="6"/>
  <c r="F249" i="6"/>
  <c r="G249" i="6" s="1"/>
  <c r="F134" i="6"/>
  <c r="G134" i="6" s="1"/>
  <c r="L45" i="6"/>
  <c r="L467" i="6"/>
  <c r="F353" i="6"/>
  <c r="G353" i="6" s="1"/>
  <c r="F396" i="6"/>
  <c r="G396" i="6" s="1"/>
  <c r="L422" i="6"/>
  <c r="F259" i="6"/>
  <c r="G259" i="6" s="1"/>
  <c r="F308" i="6"/>
  <c r="G308" i="6" s="1"/>
  <c r="F250" i="6"/>
  <c r="G250" i="6" s="1"/>
  <c r="L273" i="6"/>
  <c r="L449" i="6"/>
  <c r="L217" i="6"/>
  <c r="L448" i="6"/>
  <c r="L100" i="6"/>
  <c r="F370" i="6"/>
  <c r="G370" i="6" s="1"/>
  <c r="F358" i="6"/>
  <c r="G358" i="6" s="1"/>
  <c r="F454" i="6"/>
  <c r="G454" i="6" s="1"/>
  <c r="F89" i="6"/>
  <c r="G89" i="6" s="1"/>
  <c r="L329" i="6"/>
  <c r="L205" i="6"/>
  <c r="L421" i="6"/>
  <c r="F329" i="6"/>
  <c r="G329" i="6" s="1"/>
  <c r="F142" i="6"/>
  <c r="G142" i="6" s="1"/>
  <c r="L16" i="6"/>
  <c r="F293" i="6"/>
  <c r="G293" i="6" s="1"/>
  <c r="F80" i="6"/>
  <c r="G80" i="6" s="1"/>
  <c r="F185" i="6"/>
  <c r="G185" i="6" s="1"/>
  <c r="L288" i="6"/>
  <c r="F218" i="6"/>
  <c r="G218" i="6" s="1"/>
  <c r="L113" i="6"/>
  <c r="L491" i="6"/>
  <c r="F458" i="6"/>
  <c r="G458" i="6" s="1"/>
  <c r="L394" i="6"/>
  <c r="L434" i="6"/>
  <c r="F15" i="6"/>
  <c r="G15" i="6" s="1"/>
  <c r="L157" i="6"/>
  <c r="F39" i="6"/>
  <c r="G39" i="6" s="1"/>
  <c r="F495" i="6"/>
  <c r="G495" i="6" s="1"/>
  <c r="F227" i="6"/>
  <c r="G227" i="6" s="1"/>
  <c r="F279" i="6"/>
  <c r="G279" i="6" s="1"/>
  <c r="L219" i="6"/>
  <c r="F355" i="6"/>
  <c r="G355" i="6" s="1"/>
  <c r="L440" i="6"/>
  <c r="F462" i="6"/>
  <c r="G462" i="6" s="1"/>
  <c r="F429" i="6"/>
  <c r="G429" i="6" s="1"/>
  <c r="F71" i="6"/>
  <c r="G71" i="6" s="1"/>
  <c r="F452" i="6"/>
  <c r="G452" i="6" s="1"/>
  <c r="F410" i="6"/>
  <c r="G410" i="6" s="1"/>
  <c r="L301" i="6"/>
  <c r="L424" i="6"/>
  <c r="F479" i="6"/>
  <c r="G479" i="6" s="1"/>
  <c r="L437" i="6"/>
  <c r="L379" i="6"/>
  <c r="L240" i="6"/>
  <c r="L141" i="6"/>
  <c r="L274" i="6"/>
  <c r="L473" i="6"/>
  <c r="L291" i="6"/>
  <c r="F283" i="6"/>
  <c r="G283" i="6" s="1"/>
  <c r="L15" i="6"/>
  <c r="F65" i="6"/>
  <c r="G65" i="6" s="1"/>
  <c r="F149" i="6"/>
  <c r="G149" i="6" s="1"/>
  <c r="L493" i="6"/>
  <c r="L431" i="6"/>
  <c r="F499" i="6"/>
  <c r="G499" i="6" s="1"/>
  <c r="L89" i="6"/>
  <c r="L321" i="6"/>
  <c r="L362" i="6"/>
  <c r="L357" i="6"/>
  <c r="F490" i="6"/>
  <c r="G490" i="6" s="1"/>
  <c r="F478" i="6"/>
  <c r="G478" i="6" s="1"/>
  <c r="L289" i="6"/>
  <c r="F81" i="6"/>
  <c r="G81" i="6" s="1"/>
  <c r="F191" i="6"/>
  <c r="G191" i="6" s="1"/>
  <c r="F101" i="6"/>
  <c r="G101" i="6" s="1"/>
  <c r="F60" i="6"/>
  <c r="G60" i="6" s="1"/>
  <c r="L391" i="6"/>
  <c r="L211" i="6"/>
  <c r="L261" i="6"/>
  <c r="L14" i="6"/>
  <c r="L176" i="6"/>
  <c r="L331" i="6"/>
  <c r="F342" i="6"/>
  <c r="G342" i="6" s="1"/>
  <c r="L490" i="6"/>
  <c r="F399" i="6"/>
  <c r="G399" i="6" s="1"/>
  <c r="L368" i="6"/>
  <c r="F233" i="6"/>
  <c r="G233" i="6" s="1"/>
  <c r="L48" i="6"/>
  <c r="L318" i="6"/>
  <c r="L75" i="6"/>
  <c r="L443" i="6"/>
  <c r="L454" i="6"/>
  <c r="F404" i="6"/>
  <c r="G404" i="6" s="1"/>
  <c r="L353" i="6"/>
  <c r="F158" i="6"/>
  <c r="G158" i="6" s="1"/>
  <c r="F177" i="6"/>
  <c r="G177" i="6" s="1"/>
  <c r="F276" i="6"/>
  <c r="G276" i="6" s="1"/>
  <c r="L416" i="6"/>
  <c r="L372" i="6"/>
  <c r="L311" i="6"/>
  <c r="F386" i="6"/>
  <c r="G386" i="6" s="1"/>
  <c r="F413" i="6"/>
  <c r="G413" i="6" s="1"/>
  <c r="F237" i="6"/>
  <c r="G237" i="6" s="1"/>
  <c r="F461" i="6"/>
  <c r="G461" i="6" s="1"/>
  <c r="F310" i="6"/>
  <c r="G310" i="6" s="1"/>
  <c r="F339" i="6"/>
  <c r="G339" i="6" s="1"/>
  <c r="L413" i="6"/>
  <c r="L317" i="6"/>
  <c r="L182" i="6"/>
  <c r="L374" i="6"/>
  <c r="F13" i="6"/>
  <c r="G13" i="6" s="1"/>
  <c r="F306" i="6"/>
  <c r="G306" i="6" s="1"/>
  <c r="L298" i="6"/>
  <c r="L227" i="6"/>
  <c r="F385" i="6"/>
  <c r="G385" i="6" s="1"/>
  <c r="L93" i="6"/>
  <c r="F345" i="6"/>
  <c r="G345" i="6" s="1"/>
  <c r="F242" i="6"/>
  <c r="G242" i="6" s="1"/>
  <c r="F189" i="6"/>
  <c r="G189" i="6" s="1"/>
  <c r="F361" i="6"/>
  <c r="G361" i="6" s="1"/>
  <c r="F449" i="6"/>
  <c r="G449" i="6" s="1"/>
  <c r="L23" i="6"/>
  <c r="L70" i="6"/>
  <c r="L117" i="6"/>
  <c r="F380" i="6"/>
  <c r="G380" i="6" s="1"/>
  <c r="L410" i="6"/>
  <c r="L66" i="6"/>
  <c r="L175" i="6"/>
  <c r="L46" i="6"/>
  <c r="L201" i="6"/>
  <c r="F220" i="6"/>
  <c r="G220" i="6" s="1"/>
  <c r="L386" i="6"/>
  <c r="F244" i="6"/>
  <c r="G244" i="6" s="1"/>
  <c r="F173" i="6"/>
  <c r="G173" i="6" s="1"/>
  <c r="F209" i="6"/>
  <c r="G209" i="6" s="1"/>
  <c r="F280" i="6"/>
  <c r="G280" i="6" s="1"/>
  <c r="L212" i="6"/>
  <c r="F383" i="6"/>
  <c r="G383" i="6" s="1"/>
  <c r="F114" i="6"/>
  <c r="G114" i="6" s="1"/>
  <c r="L265" i="6"/>
  <c r="F448" i="6"/>
  <c r="G448" i="6" s="1"/>
  <c r="L63" i="6"/>
  <c r="F183" i="6"/>
  <c r="G183" i="6" s="1"/>
  <c r="F28" i="6"/>
  <c r="G28" i="6" s="1"/>
  <c r="F175" i="6"/>
  <c r="G175" i="6" s="1"/>
  <c r="F277" i="6"/>
  <c r="G277" i="6" s="1"/>
  <c r="F47" i="6"/>
  <c r="G47" i="6" s="1"/>
  <c r="L27" i="6"/>
  <c r="L35" i="6"/>
  <c r="L228" i="6"/>
  <c r="F435" i="6"/>
  <c r="G435" i="6" s="1"/>
  <c r="L74" i="6"/>
  <c r="L97" i="6"/>
  <c r="L309" i="6"/>
  <c r="F45" i="6"/>
  <c r="G45" i="6" s="1"/>
  <c r="F108" i="6"/>
  <c r="G108" i="6" s="1"/>
  <c r="F154" i="6"/>
  <c r="G154" i="6" s="1"/>
  <c r="F239" i="6"/>
  <c r="G239" i="6" s="1"/>
  <c r="L282" i="6"/>
  <c r="L71" i="6"/>
  <c r="L95" i="6"/>
  <c r="L96" i="6"/>
  <c r="F163" i="6"/>
  <c r="G163" i="6" s="1"/>
  <c r="F212" i="6"/>
  <c r="G212" i="6" s="1"/>
  <c r="F97" i="6"/>
  <c r="G97" i="6" s="1"/>
  <c r="L471" i="6"/>
  <c r="L250" i="6"/>
  <c r="L126" i="6"/>
  <c r="L42" i="6"/>
  <c r="F34" i="6"/>
  <c r="G34" i="6" s="1"/>
  <c r="F67" i="6"/>
  <c r="G67" i="6" s="1"/>
  <c r="F487" i="6"/>
  <c r="G487" i="6" s="1"/>
  <c r="L248" i="6"/>
  <c r="L232" i="6"/>
  <c r="F475" i="6"/>
  <c r="G475" i="6" s="1"/>
  <c r="L415" i="6"/>
  <c r="L292" i="6"/>
  <c r="F128" i="6"/>
  <c r="G128" i="6" s="1"/>
  <c r="F85" i="6"/>
  <c r="G85" i="6" s="1"/>
  <c r="L135" i="6"/>
  <c r="F331" i="6"/>
  <c r="G331" i="6" s="1"/>
  <c r="L123" i="6"/>
  <c r="L327" i="6"/>
  <c r="F314" i="6"/>
  <c r="G314" i="6" s="1"/>
  <c r="L364" i="6"/>
  <c r="F296" i="6"/>
  <c r="G296" i="6" s="1"/>
  <c r="F104" i="6"/>
  <c r="G104" i="6" s="1"/>
  <c r="L88" i="6"/>
  <c r="F491" i="6"/>
  <c r="G491" i="6" s="1"/>
  <c r="L451" i="6"/>
  <c r="L172" i="6"/>
  <c r="L64" i="6"/>
  <c r="L94" i="6"/>
  <c r="F107" i="6"/>
  <c r="G107" i="6" s="1"/>
  <c r="L325" i="6"/>
  <c r="F243" i="6"/>
  <c r="G243" i="6" s="1"/>
  <c r="L77" i="6"/>
  <c r="L241" i="6"/>
  <c r="F186" i="6"/>
  <c r="G186" i="6" s="1"/>
  <c r="L237" i="6"/>
  <c r="F78" i="6"/>
  <c r="G78" i="6" s="1"/>
  <c r="L402" i="6"/>
  <c r="L381" i="6"/>
  <c r="L28" i="6"/>
  <c r="F56" i="6"/>
  <c r="G56" i="6" s="1"/>
  <c r="L44" i="6"/>
  <c r="L316" i="6"/>
  <c r="F326" i="6"/>
  <c r="G326" i="6" s="1"/>
  <c r="L58" i="6"/>
  <c r="F88" i="6"/>
  <c r="G88" i="6" s="1"/>
  <c r="F135" i="6"/>
  <c r="G135" i="6" s="1"/>
  <c r="F86" i="6"/>
  <c r="G86" i="6" s="1"/>
  <c r="F136" i="6"/>
  <c r="G136" i="6" s="1"/>
  <c r="L290" i="6"/>
  <c r="L496" i="6"/>
  <c r="F447" i="6"/>
  <c r="G447" i="6" s="1"/>
  <c r="L79" i="6"/>
  <c r="L302" i="6"/>
  <c r="F445" i="6"/>
  <c r="G445" i="6" s="1"/>
  <c r="F395" i="6"/>
  <c r="G395" i="6" s="1"/>
  <c r="F402" i="6"/>
  <c r="G402" i="6" s="1"/>
  <c r="L108" i="6"/>
  <c r="L121" i="6"/>
  <c r="L466" i="6"/>
  <c r="F291" i="6"/>
  <c r="G291" i="6" s="1"/>
  <c r="L450" i="6"/>
  <c r="F64" i="6"/>
  <c r="G64" i="6" s="1"/>
  <c r="L249" i="6"/>
  <c r="L258" i="6"/>
  <c r="F348" i="6"/>
  <c r="G348" i="6" s="1"/>
  <c r="F168" i="6"/>
  <c r="G168" i="6" s="1"/>
  <c r="L102" i="6"/>
  <c r="L254" i="6"/>
  <c r="L52" i="6"/>
  <c r="L40" i="6"/>
  <c r="L376" i="6"/>
  <c r="L139" i="6"/>
  <c r="L469" i="6"/>
  <c r="L389" i="6"/>
  <c r="F473" i="6"/>
  <c r="G473" i="6" s="1"/>
  <c r="L229" i="6"/>
  <c r="L206" i="6"/>
  <c r="L312" i="6"/>
  <c r="L383" i="6"/>
  <c r="F271" i="6"/>
  <c r="G271" i="6" s="1"/>
  <c r="L109" i="6"/>
  <c r="L129" i="6"/>
  <c r="F19" i="6"/>
  <c r="G19" i="6" s="1"/>
  <c r="F164" i="6"/>
  <c r="G164" i="6" s="1"/>
  <c r="L76" i="6"/>
  <c r="F131" i="6"/>
  <c r="G131" i="6" s="1"/>
  <c r="F286" i="6"/>
  <c r="G286" i="6" s="1"/>
  <c r="L287" i="6"/>
  <c r="F151" i="6"/>
  <c r="G151" i="6" s="1"/>
  <c r="F20" i="6"/>
  <c r="G20" i="6" s="1"/>
  <c r="F178" i="6"/>
  <c r="G178" i="6" s="1"/>
  <c r="L326" i="6"/>
  <c r="F234" i="6"/>
  <c r="G234" i="6" s="1"/>
  <c r="F364" i="6"/>
  <c r="G364" i="6" s="1"/>
  <c r="F117" i="6"/>
  <c r="G117" i="6" s="1"/>
  <c r="L174" i="6"/>
  <c r="L165" i="6"/>
  <c r="L51" i="6"/>
  <c r="L313" i="6"/>
  <c r="F76" i="6"/>
  <c r="G76" i="6" s="1"/>
  <c r="F167" i="6"/>
  <c r="G167" i="6" s="1"/>
  <c r="F371" i="6"/>
  <c r="G371" i="6" s="1"/>
  <c r="F484" i="6"/>
  <c r="G484" i="6" s="1"/>
  <c r="L118" i="6"/>
  <c r="L236" i="6"/>
  <c r="F338" i="6"/>
  <c r="G338" i="6" s="1"/>
  <c r="F497" i="6"/>
  <c r="G497" i="6" s="1"/>
  <c r="F366" i="6"/>
  <c r="G366" i="6" s="1"/>
  <c r="F182" i="6"/>
  <c r="G182" i="6" s="1"/>
  <c r="L333" i="6"/>
  <c r="L347" i="6"/>
  <c r="L222" i="6"/>
  <c r="L31" i="6"/>
  <c r="F257" i="6"/>
  <c r="G257" i="6" s="1"/>
  <c r="F334" i="6"/>
  <c r="G334" i="6" s="1"/>
  <c r="L293" i="6"/>
  <c r="L164" i="6"/>
  <c r="L60" i="6"/>
  <c r="F91" i="6"/>
  <c r="G91" i="6" s="1"/>
  <c r="L307" i="6"/>
  <c r="L271" i="6"/>
  <c r="F300" i="6"/>
  <c r="G300" i="6" s="1"/>
  <c r="L152" i="6"/>
  <c r="F145" i="6"/>
  <c r="G145" i="6" s="1"/>
  <c r="F95" i="6"/>
  <c r="G95" i="6" s="1"/>
  <c r="F57" i="6"/>
  <c r="G57" i="6" s="1"/>
  <c r="F100" i="6"/>
  <c r="G100" i="6" s="1"/>
  <c r="L320" i="6"/>
  <c r="L214" i="6"/>
  <c r="L276" i="6"/>
  <c r="F115" i="6"/>
  <c r="G115" i="6" s="1"/>
  <c r="F160" i="6"/>
  <c r="G160" i="6" s="1"/>
  <c r="L55" i="6"/>
  <c r="L103" i="6"/>
  <c r="F103" i="6"/>
  <c r="G103" i="6" s="1"/>
  <c r="L131" i="6"/>
  <c r="F147" i="6"/>
  <c r="G147" i="6" s="1"/>
  <c r="L359" i="6"/>
  <c r="F79" i="6"/>
  <c r="G79" i="6" s="1"/>
  <c r="F26" i="6"/>
  <c r="G26" i="6" s="1"/>
  <c r="F42" i="6"/>
  <c r="G42" i="6" s="1"/>
  <c r="L116" i="6"/>
  <c r="F197" i="6"/>
  <c r="G197" i="6" s="1"/>
  <c r="L168" i="6"/>
  <c r="F451" i="6"/>
  <c r="G451" i="6" s="1"/>
  <c r="L407" i="6"/>
  <c r="F30" i="6"/>
  <c r="G30" i="6" s="1"/>
  <c r="F40" i="6"/>
  <c r="G40" i="6" s="1"/>
  <c r="L119" i="6"/>
  <c r="L199" i="6"/>
  <c r="F73" i="6"/>
  <c r="G73" i="6" s="1"/>
  <c r="L278" i="6"/>
  <c r="F204" i="6"/>
  <c r="G204" i="6" s="1"/>
  <c r="L138" i="6"/>
  <c r="F195" i="6"/>
  <c r="G195" i="6" s="1"/>
  <c r="F162" i="6"/>
  <c r="G162" i="6" s="1"/>
  <c r="F196" i="6"/>
  <c r="G196" i="6" s="1"/>
  <c r="F427" i="6"/>
  <c r="G427" i="6" s="1"/>
  <c r="F235" i="6"/>
  <c r="G235" i="6" s="1"/>
  <c r="L233" i="6"/>
  <c r="L462" i="6"/>
  <c r="F14" i="6"/>
  <c r="G14" i="6" s="1"/>
  <c r="F312" i="6"/>
  <c r="G312" i="6" s="1"/>
  <c r="L342" i="6"/>
  <c r="L343" i="6"/>
  <c r="L82" i="6"/>
  <c r="F66" i="6"/>
  <c r="G66" i="6" s="1"/>
  <c r="F174" i="6"/>
  <c r="G174" i="6" s="1"/>
  <c r="F231" i="6"/>
  <c r="G231" i="6" s="1"/>
  <c r="L472" i="6"/>
  <c r="F150" i="6"/>
  <c r="G150" i="6" s="1"/>
  <c r="F94" i="6"/>
  <c r="G94" i="6" s="1"/>
  <c r="F148" i="6"/>
  <c r="G148" i="6" s="1"/>
  <c r="F248" i="6"/>
  <c r="G248" i="6" s="1"/>
  <c r="L299" i="6"/>
  <c r="L203" i="6"/>
  <c r="L194" i="6"/>
  <c r="L72" i="6"/>
  <c r="F180" i="6"/>
  <c r="G180" i="6" s="1"/>
  <c r="L297" i="6"/>
  <c r="F140" i="6"/>
  <c r="G140" i="6" s="1"/>
  <c r="F77" i="6"/>
  <c r="G77" i="6" s="1"/>
  <c r="F35" i="6"/>
  <c r="G35" i="6" s="1"/>
  <c r="F457" i="6"/>
  <c r="G457" i="6" s="1"/>
  <c r="F215" i="6"/>
  <c r="G215" i="6" s="1"/>
  <c r="L230" i="6"/>
  <c r="L497" i="6"/>
  <c r="F84" i="6"/>
  <c r="G84" i="6" s="1"/>
  <c r="F305" i="6"/>
  <c r="G305" i="6" s="1"/>
  <c r="L73" i="6"/>
  <c r="L185" i="6"/>
  <c r="F464" i="6"/>
  <c r="G464" i="6" s="1"/>
  <c r="L136" i="6"/>
  <c r="F17" i="6"/>
  <c r="G17" i="6" s="1"/>
  <c r="L150" i="6"/>
  <c r="F59" i="6"/>
  <c r="G59" i="6" s="1"/>
  <c r="L144" i="6"/>
  <c r="F261" i="6"/>
  <c r="G261" i="6" s="1"/>
  <c r="L356" i="6"/>
  <c r="F38" i="6"/>
  <c r="G38" i="6" s="1"/>
  <c r="F238" i="6"/>
  <c r="G238" i="6" s="1"/>
  <c r="L332" i="6"/>
  <c r="L146" i="6"/>
  <c r="L475" i="6"/>
  <c r="F273" i="6"/>
  <c r="G273" i="6" s="1"/>
  <c r="L280" i="6"/>
  <c r="F216" i="6"/>
  <c r="G216" i="6" s="1"/>
  <c r="F387" i="6"/>
  <c r="G387" i="6" s="1"/>
  <c r="L485" i="6"/>
  <c r="F61" i="6"/>
  <c r="G61" i="6" s="1"/>
  <c r="L114" i="6"/>
  <c r="F369" i="6"/>
  <c r="G369" i="6" s="1"/>
  <c r="F137" i="6"/>
  <c r="G137" i="6" s="1"/>
  <c r="F211" i="6"/>
  <c r="G211" i="6" s="1"/>
  <c r="F459" i="6"/>
  <c r="G459" i="6" s="1"/>
  <c r="F267" i="6"/>
  <c r="G267" i="6" s="1"/>
  <c r="L392" i="6"/>
  <c r="F350" i="6"/>
  <c r="G350" i="6" s="1"/>
  <c r="F468" i="6"/>
  <c r="G468" i="6" s="1"/>
  <c r="F391" i="6"/>
  <c r="G391" i="6" s="1"/>
  <c r="L360" i="6"/>
  <c r="F315" i="6"/>
  <c r="G315" i="6" s="1"/>
  <c r="F123" i="6"/>
  <c r="G123" i="6" s="1"/>
  <c r="F203" i="6"/>
  <c r="G203" i="6" s="1"/>
  <c r="L154" i="6"/>
  <c r="L19" i="6"/>
  <c r="L253" i="6"/>
  <c r="L134" i="6"/>
  <c r="L149" i="6"/>
  <c r="F246" i="6"/>
  <c r="G246" i="6" s="1"/>
  <c r="F319" i="6"/>
  <c r="G319" i="6" s="1"/>
  <c r="F23" i="6"/>
  <c r="G23" i="6" s="1"/>
  <c r="L133" i="6"/>
  <c r="F105" i="6"/>
  <c r="G105" i="6" s="1"/>
  <c r="L18" i="6"/>
  <c r="F58" i="6"/>
  <c r="G58" i="6" s="1"/>
  <c r="L319" i="6"/>
  <c r="L243" i="6"/>
  <c r="F112" i="6"/>
  <c r="G112" i="6" s="1"/>
  <c r="L34" i="6"/>
  <c r="F106" i="6"/>
  <c r="G106" i="6" s="1"/>
  <c r="L464" i="6"/>
  <c r="F130" i="6"/>
  <c r="G130" i="6" s="1"/>
  <c r="L125" i="6"/>
  <c r="F152" i="6"/>
  <c r="G152" i="6" s="1"/>
  <c r="F486" i="6"/>
  <c r="G486" i="6" s="1"/>
  <c r="L186" i="6"/>
  <c r="L264" i="6"/>
  <c r="F281" i="6"/>
  <c r="G281" i="6" s="1"/>
  <c r="L67" i="6"/>
  <c r="F219" i="6"/>
  <c r="G219" i="6" s="1"/>
  <c r="F253" i="6"/>
  <c r="G253" i="6" s="1"/>
  <c r="L98" i="6"/>
  <c r="F93" i="6"/>
  <c r="G93" i="6" s="1"/>
  <c r="F156" i="6"/>
  <c r="G156" i="6" s="1"/>
  <c r="L481" i="6"/>
  <c r="F477" i="6"/>
  <c r="G477" i="6" s="1"/>
  <c r="L482" i="6"/>
  <c r="L213" i="6"/>
  <c r="F372" i="6"/>
  <c r="G372" i="6" s="1"/>
  <c r="F318" i="6"/>
  <c r="G318" i="6" s="1"/>
  <c r="L193" i="6"/>
  <c r="F92" i="6"/>
  <c r="G92" i="6" s="1"/>
  <c r="L239" i="6"/>
  <c r="F469" i="6"/>
  <c r="G469" i="6" s="1"/>
  <c r="F236" i="6"/>
  <c r="G236" i="6" s="1"/>
  <c r="L110" i="6"/>
  <c r="L436" i="6"/>
  <c r="F69" i="6"/>
  <c r="G69" i="6" s="1"/>
  <c r="F255" i="6"/>
  <c r="G255" i="6" s="1"/>
  <c r="L284" i="6"/>
  <c r="L251" i="6"/>
  <c r="L151" i="6"/>
  <c r="L338" i="6"/>
  <c r="L147" i="6"/>
  <c r="F102" i="6"/>
  <c r="G102" i="6" s="1"/>
  <c r="F184" i="6"/>
  <c r="G184" i="6" s="1"/>
  <c r="F311" i="6"/>
  <c r="G311" i="6" s="1"/>
  <c r="F41" i="6"/>
  <c r="G41" i="6" s="1"/>
  <c r="L29" i="6"/>
  <c r="F376" i="6"/>
  <c r="G376" i="6" s="1"/>
  <c r="L204" i="6"/>
  <c r="F498" i="6"/>
  <c r="G498" i="6" s="1"/>
  <c r="F75" i="6"/>
  <c r="G75" i="6" s="1"/>
  <c r="F202" i="6"/>
  <c r="G202" i="6" s="1"/>
  <c r="F90" i="6"/>
  <c r="G90" i="6" s="1"/>
  <c r="F187" i="6"/>
  <c r="G187" i="6" s="1"/>
  <c r="L339" i="6"/>
  <c r="L210" i="6"/>
  <c r="F228" i="6"/>
  <c r="G228" i="6" s="1"/>
  <c r="F62" i="6"/>
  <c r="G62" i="6" s="1"/>
  <c r="L80" i="6"/>
  <c r="L20" i="6"/>
  <c r="F16" i="6"/>
  <c r="G16" i="6" s="1"/>
  <c r="L220" i="6"/>
  <c r="L428" i="6"/>
  <c r="L418" i="6"/>
  <c r="F82" i="6"/>
  <c r="G82" i="6" s="1"/>
  <c r="L345" i="6"/>
  <c r="F471" i="6"/>
  <c r="G471" i="6" s="1"/>
  <c r="L192" i="6"/>
  <c r="F124" i="6"/>
  <c r="G124" i="6" s="1"/>
  <c r="F349" i="6"/>
  <c r="G349" i="6" s="1"/>
  <c r="L33" i="6"/>
  <c r="F144" i="6"/>
  <c r="G144" i="6" s="1"/>
  <c r="F303" i="6"/>
  <c r="G303" i="6" s="1"/>
  <c r="L405" i="6"/>
  <c r="L54" i="6"/>
  <c r="F63" i="6"/>
  <c r="G63" i="6" s="1"/>
  <c r="L351" i="6"/>
  <c r="F488" i="6"/>
  <c r="G488" i="6" s="1"/>
  <c r="L500" i="6"/>
  <c r="F408" i="6"/>
  <c r="G408" i="6" s="1"/>
  <c r="F226" i="6"/>
  <c r="G226" i="6" s="1"/>
  <c r="F406" i="6"/>
  <c r="G406" i="6" s="1"/>
  <c r="L330" i="6"/>
  <c r="L283" i="6"/>
  <c r="F159" i="6"/>
  <c r="G159" i="6" s="1"/>
  <c r="F347" i="6"/>
  <c r="G347" i="6" s="1"/>
  <c r="L399" i="6"/>
  <c r="F367" i="6"/>
  <c r="G367" i="6" s="1"/>
  <c r="L78" i="6"/>
  <c r="F247" i="6"/>
  <c r="G247" i="6" s="1"/>
  <c r="L281" i="6"/>
  <c r="L57" i="6"/>
  <c r="L184" i="6"/>
  <c r="L86" i="6"/>
  <c r="F230" i="6"/>
  <c r="G230" i="6" s="1"/>
  <c r="F53" i="6"/>
  <c r="G53" i="6" s="1"/>
  <c r="L145" i="6"/>
  <c r="F27" i="6"/>
  <c r="G27" i="6" s="1"/>
  <c r="L162" i="6"/>
  <c r="L197" i="6"/>
  <c r="L83" i="6"/>
  <c r="L382" i="6"/>
  <c r="L169" i="6"/>
  <c r="F405" i="6"/>
  <c r="G405" i="6" s="1"/>
  <c r="L166" i="6"/>
  <c r="F217" i="6"/>
  <c r="G217" i="6" s="1"/>
  <c r="L238" i="6"/>
  <c r="F282" i="6"/>
  <c r="G282" i="6" s="1"/>
  <c r="F165" i="6"/>
  <c r="G165" i="6" s="1"/>
  <c r="F49" i="6"/>
  <c r="G49" i="6" s="1"/>
  <c r="F52" i="6"/>
  <c r="G52" i="6" s="1"/>
  <c r="L140" i="6"/>
  <c r="L189" i="6"/>
  <c r="L56" i="6"/>
  <c r="F121" i="6"/>
  <c r="G121" i="6" s="1"/>
  <c r="L41" i="6"/>
  <c r="F109" i="6"/>
  <c r="G109" i="6" s="1"/>
  <c r="L91" i="6"/>
  <c r="L137" i="6"/>
  <c r="L267" i="6"/>
  <c r="F169" i="6"/>
  <c r="G169" i="6" s="1"/>
  <c r="F50" i="6"/>
  <c r="G50" i="6" s="1"/>
  <c r="F357" i="6"/>
  <c r="G357" i="6" s="1"/>
  <c r="L187" i="6"/>
  <c r="L266" i="6"/>
  <c r="F18" i="6"/>
  <c r="G18" i="6" s="1"/>
  <c r="L479" i="6"/>
  <c r="F397" i="6"/>
  <c r="G397" i="6" s="1"/>
  <c r="F460" i="6"/>
  <c r="G460" i="6" s="1"/>
  <c r="L257" i="6"/>
  <c r="L442" i="6"/>
  <c r="L294" i="6"/>
  <c r="F241" i="6"/>
  <c r="G241" i="6" s="1"/>
  <c r="L367" i="6"/>
  <c r="L406" i="6"/>
  <c r="L255" i="6"/>
  <c r="F307" i="6"/>
  <c r="G307" i="6" s="1"/>
  <c r="L277" i="6"/>
  <c r="L427" i="6"/>
  <c r="L156" i="6"/>
  <c r="F166" i="6"/>
  <c r="G166" i="6" s="1"/>
  <c r="F24" i="6"/>
  <c r="G24" i="6" s="1"/>
  <c r="L17" i="6"/>
  <c r="F110" i="6"/>
  <c r="G110" i="6" s="1"/>
  <c r="F126" i="6"/>
  <c r="G126" i="6" s="1"/>
  <c r="F172" i="6"/>
  <c r="G172" i="6" s="1"/>
  <c r="L128" i="6"/>
  <c r="F98" i="6"/>
  <c r="G98" i="6" s="1"/>
  <c r="F222" i="6"/>
  <c r="G222" i="6" s="1"/>
  <c r="F294" i="6"/>
  <c r="G294" i="6" s="1"/>
  <c r="L120" i="6"/>
  <c r="F304" i="6"/>
  <c r="G304" i="6" s="1"/>
  <c r="F54" i="6"/>
  <c r="G54" i="6" s="1"/>
  <c r="F373" i="6"/>
  <c r="G373" i="6" s="1"/>
  <c r="F433" i="6"/>
  <c r="G433" i="6" s="1"/>
  <c r="F262" i="6"/>
  <c r="G262" i="6" s="1"/>
  <c r="F229" i="6"/>
  <c r="G229" i="6" s="1"/>
  <c r="L207" i="6"/>
  <c r="F120" i="6"/>
  <c r="G120" i="6" s="1"/>
  <c r="F32" i="6"/>
  <c r="G32" i="6" s="1"/>
  <c r="F141" i="6"/>
  <c r="G141" i="6" s="1"/>
  <c r="L158" i="6"/>
  <c r="F292" i="6"/>
  <c r="G292" i="6" s="1"/>
  <c r="F263" i="6"/>
  <c r="G263" i="6" s="1"/>
  <c r="F70" i="6"/>
  <c r="G70" i="6" s="1"/>
  <c r="L111" i="6"/>
  <c r="F424" i="6"/>
  <c r="G424" i="6" s="1"/>
  <c r="L215" i="6"/>
  <c r="L62" i="6"/>
  <c r="L190" i="6"/>
  <c r="F192" i="6"/>
  <c r="G192" i="6" s="1"/>
  <c r="L101" i="6"/>
  <c r="F46" i="6"/>
  <c r="G46" i="6" s="1"/>
  <c r="F127" i="6"/>
  <c r="G127" i="6" s="1"/>
  <c r="L262" i="6"/>
  <c r="L99" i="6"/>
  <c r="F213" i="6"/>
  <c r="G213" i="6" s="1"/>
  <c r="L244" i="6"/>
  <c r="L476" i="6"/>
  <c r="F299" i="6"/>
  <c r="G299" i="6" s="1"/>
  <c r="L417" i="6"/>
  <c r="L225" i="6"/>
  <c r="L498" i="6"/>
  <c r="L196" i="6"/>
  <c r="F193" i="6"/>
  <c r="G193" i="6" s="1"/>
  <c r="F25" i="6"/>
  <c r="G25" i="6" s="1"/>
  <c r="F493" i="6"/>
  <c r="G493" i="6" s="1"/>
  <c r="F118" i="6"/>
  <c r="G118" i="6" s="1"/>
  <c r="L65" i="6"/>
  <c r="L414" i="6"/>
  <c r="F431" i="6"/>
  <c r="G431" i="6" s="1"/>
  <c r="F317" i="6"/>
  <c r="G317" i="6" s="1"/>
  <c r="L397" i="6"/>
  <c r="F285" i="6"/>
  <c r="G285" i="6" s="1"/>
  <c r="L59" i="6"/>
  <c r="L106" i="6"/>
  <c r="F368" i="6"/>
  <c r="G368" i="6" s="1"/>
  <c r="L177" i="6"/>
  <c r="L22" i="6"/>
  <c r="F51" i="6"/>
  <c r="G51" i="6" s="1"/>
  <c r="L69" i="6"/>
  <c r="L252" i="6"/>
  <c r="F418" i="6"/>
  <c r="G418" i="6" s="1"/>
  <c r="L26" i="6"/>
  <c r="F171" i="6"/>
  <c r="G171" i="6" s="1"/>
  <c r="F434" i="6"/>
  <c r="G434" i="6" s="1"/>
  <c r="L36" i="6"/>
  <c r="F325" i="6"/>
  <c r="G325" i="6" s="1"/>
  <c r="F206" i="6"/>
  <c r="G206" i="6" s="1"/>
  <c r="F363" i="6"/>
  <c r="G363" i="6" s="1"/>
  <c r="L49" i="6"/>
  <c r="L21" i="6"/>
  <c r="F313" i="6"/>
  <c r="G313" i="6" s="1"/>
  <c r="L115" i="6"/>
  <c r="F29" i="6"/>
  <c r="G29" i="6" s="1"/>
  <c r="L310" i="6"/>
  <c r="L181" i="6"/>
  <c r="F37" i="6"/>
  <c r="G37" i="6" s="1"/>
  <c r="L275" i="6"/>
  <c r="L272" i="6"/>
  <c r="F31" i="6"/>
  <c r="G31" i="6" s="1"/>
  <c r="F264" i="6"/>
  <c r="G264" i="6" s="1"/>
  <c r="F132" i="6"/>
  <c r="G132" i="6" s="1"/>
  <c r="F323" i="6"/>
  <c r="G323" i="6" s="1"/>
  <c r="F201" i="6"/>
  <c r="G201" i="6" s="1"/>
  <c r="L209" i="6"/>
  <c r="L279" i="6"/>
  <c r="G501" i="6" l="1"/>
  <c r="G502" i="6" s="1"/>
</calcChain>
</file>

<file path=xl/sharedStrings.xml><?xml version="1.0" encoding="utf-8"?>
<sst xmlns="http://schemas.openxmlformats.org/spreadsheetml/2006/main" count="46" uniqueCount="36">
  <si>
    <t>Артикул</t>
  </si>
  <si>
    <t>Ед. изм.</t>
  </si>
  <si>
    <t>Бренд</t>
  </si>
  <si>
    <t>Кратность</t>
  </si>
  <si>
    <t>Код КазНИИСА</t>
  </si>
  <si>
    <t>Наименование</t>
  </si>
  <si>
    <t>Кол-во</t>
  </si>
  <si>
    <t>Константа цена</t>
  </si>
  <si>
    <t>Цена КП</t>
  </si>
  <si>
    <t>Сумма себес</t>
  </si>
  <si>
    <t>Сумма КП</t>
  </si>
  <si>
    <t>Цена КазНИИСА</t>
  </si>
  <si>
    <t>Сумма КазНИИСА</t>
  </si>
  <si>
    <t>РРЦ в тнг</t>
  </si>
  <si>
    <t>Сумма РРЦ</t>
  </si>
  <si>
    <t>Цена себес</t>
  </si>
  <si>
    <t>Контактное лицо:</t>
  </si>
  <si>
    <t>Проект:</t>
  </si>
  <si>
    <t>Должность:</t>
  </si>
  <si>
    <t>Клиент:</t>
  </si>
  <si>
    <t>Телефон:</t>
  </si>
  <si>
    <t>e-mail:</t>
  </si>
  <si>
    <t>Дата:</t>
  </si>
  <si>
    <t>КОММЕРЧЕСКОЕ ПРЕДЛОЖЕНИЕ</t>
  </si>
  <si>
    <t>Уважаемый Партнер, благодарим за обращение в нашу компанию!
Мы подобрали самое лучшее решение для Вашего проекта и готовы оказать дальнейшую поддержку.</t>
  </si>
  <si>
    <t>Условия доставки:</t>
  </si>
  <si>
    <t>Самовывоз со склада в г.Астана</t>
  </si>
  <si>
    <t>Условия оплаты:</t>
  </si>
  <si>
    <t>100% оплата при размещении заказа</t>
  </si>
  <si>
    <t>Коммерческое предложение действительно 3 дня от даты предоставления. В случае необходимости обновления КП просим связаться с нами.</t>
  </si>
  <si>
    <t>С уважением,</t>
  </si>
  <si>
    <t>Итого:</t>
  </si>
  <si>
    <t>Комментарии</t>
  </si>
  <si>
    <t>Срок поставки</t>
  </si>
  <si>
    <t>НДС 16%:</t>
  </si>
  <si>
    <t>ТОО «Торговый Дом «GQ-System Kazakhstan»
БИН 190740026451
010000, Республика Казахстан 
г.Астана, Айша биби 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</si>
</sst>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44" formatCode="_-* #,##0.00\ &quot;₸&quot;_-;\-* #,##0.00\ &quot;₸&quot;_-;_-* &quot;-&quot;??\ &quot;₸&quot;_-;_-@_-"/>
    <numFmt numFmtId="43" formatCode="_-* #,##0.00_-;\-* #,##0.00_-;_-* &quot;-&quot;??_-;_-@_-"/>
    <numFmt numFmtId="164" formatCode="_-* #,##0.00\ _₸_-;\-* #,##0.00\ _₸_-;_-* &quot;-&quot;??\ _₸_-;_-@_-"/>
    <numFmt numFmtId="167" formatCode="_-* #,##0\ _₸_-;\-* #,##0\ _₸_-;_-* &quot;-&quot;??\ _₸_-;_-@_-"/>
    <numFmt numFmtId="168" formatCode="_(* #,##0.00_);_(* \(#,##0.00\);_(* &quot;-&quot;??_);_(@_)"/>
    <numFmt numFmtId="169" formatCode="[&lt;=9999999]###\-####;\(###\)\ ###\-####"/>
    <numFmt numFmtId="170" formatCode="0;\-0;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8"/>
      <name val="Arial"/>
      <family val="2"/>
      <charset val="1"/>
    </font>
    <font>
      <sz val="11"/>
      <color theme="1"/>
      <name val="Calibri"/>
      <family val="2"/>
      <charset val="204"/>
      <scheme val="minor"/>
    </font>
    <font>
      <sz val="10"/>
      <name val="Helv"/>
    </font>
    <font>
      <sz val="11"/>
      <color indexed="8"/>
      <name val="Calibri"/>
      <family val="2"/>
      <scheme val="minor"/>
    </font>
    <font>
      <sz val="11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scheme val="minor"/>
    </font>
    <font>
      <sz val="9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9"/>
      <color theme="0"/>
      <name val="Calibri"/>
      <family val="2"/>
      <charset val="204"/>
      <scheme val="minor"/>
    </font>
    <font>
      <b/>
      <sz val="9"/>
      <color theme="0"/>
      <name val="Calibri"/>
      <family val="2"/>
      <charset val="204"/>
      <scheme val="minor"/>
    </font>
    <font>
      <sz val="12"/>
      <color rgb="FFFF0000"/>
      <name val="Calibri"/>
      <family val="2"/>
      <charset val="204"/>
    </font>
    <font>
      <sz val="1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/>
      <diagonal/>
    </border>
  </borders>
  <cellStyleXfs count="18">
    <xf numFmtId="0" fontId="0" fillId="0" borderId="0"/>
    <xf numFmtId="164" fontId="3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8" fillId="0" borderId="0"/>
    <xf numFmtId="0" fontId="9" fillId="0" borderId="0">
      <alignment vertical="center"/>
    </xf>
    <xf numFmtId="0" fontId="10" fillId="0" borderId="0"/>
    <xf numFmtId="0" fontId="11" fillId="0" borderId="0"/>
    <xf numFmtId="0" fontId="2" fillId="0" borderId="0"/>
    <xf numFmtId="0" fontId="3" fillId="0" borderId="0"/>
    <xf numFmtId="0" fontId="5" fillId="0" borderId="0"/>
    <xf numFmtId="0" fontId="1" fillId="0" borderId="0"/>
    <xf numFmtId="0" fontId="1" fillId="0" borderId="0"/>
    <xf numFmtId="0" fontId="1" fillId="0" borderId="0"/>
    <xf numFmtId="44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Alignment="1">
      <alignment wrapText="1"/>
    </xf>
    <xf numFmtId="0" fontId="13" fillId="0" borderId="0" xfId="8" applyFont="1" applyAlignment="1">
      <alignment vertical="center" wrapText="1"/>
    </xf>
    <xf numFmtId="0" fontId="14" fillId="0" borderId="0" xfId="8" applyFont="1" applyAlignment="1">
      <alignment horizontal="center" vertical="center" wrapText="1"/>
    </xf>
    <xf numFmtId="0" fontId="16" fillId="0" borderId="0" xfId="8" applyFont="1" applyAlignment="1">
      <alignment horizontal="right" vertical="center" wrapText="1"/>
    </xf>
    <xf numFmtId="0" fontId="15" fillId="0" borderId="0" xfId="8" applyFont="1" applyAlignment="1">
      <alignment horizontal="right" vertical="center" wrapText="1"/>
    </xf>
    <xf numFmtId="14" fontId="14" fillId="0" borderId="0" xfId="8" applyNumberFormat="1" applyFont="1" applyAlignment="1">
      <alignment horizontal="left" vertical="center" wrapText="1"/>
    </xf>
    <xf numFmtId="169" fontId="13" fillId="0" borderId="0" xfId="8" applyNumberFormat="1" applyFont="1" applyAlignment="1">
      <alignment horizontal="center" vertical="center" wrapText="1"/>
    </xf>
    <xf numFmtId="164" fontId="13" fillId="0" borderId="0" xfId="1" applyFont="1" applyFill="1" applyAlignment="1">
      <alignment horizontal="center" vertical="center" wrapText="1"/>
    </xf>
    <xf numFmtId="0" fontId="16" fillId="0" borderId="0" xfId="8" applyFont="1" applyAlignment="1">
      <alignment horizontal="center" vertical="center" wrapText="1"/>
    </xf>
    <xf numFmtId="164" fontId="13" fillId="0" borderId="3" xfId="1" applyFont="1" applyFill="1" applyBorder="1" applyAlignment="1">
      <alignment horizontal="center" vertical="center" wrapText="1"/>
    </xf>
    <xf numFmtId="0" fontId="13" fillId="0" borderId="0" xfId="0" applyFont="1"/>
    <xf numFmtId="164" fontId="16" fillId="0" borderId="1" xfId="1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0" xfId="8" applyFont="1" applyAlignment="1">
      <alignment horizontal="left" vertical="center" wrapText="1"/>
    </xf>
    <xf numFmtId="168" fontId="13" fillId="0" borderId="0" xfId="8" applyNumberFormat="1" applyFont="1" applyAlignment="1">
      <alignment horizontal="center" vertical="center" wrapText="1"/>
    </xf>
    <xf numFmtId="0" fontId="13" fillId="0" borderId="0" xfId="8" applyFont="1" applyAlignment="1">
      <alignment horizontal="center" vertical="center" wrapText="1"/>
    </xf>
    <xf numFmtId="0" fontId="16" fillId="3" borderId="0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164" fontId="17" fillId="0" borderId="0" xfId="1" applyFont="1"/>
    <xf numFmtId="164" fontId="13" fillId="0" borderId="0" xfId="1" applyFont="1"/>
    <xf numFmtId="164" fontId="13" fillId="0" borderId="0" xfId="1" applyFont="1" applyAlignment="1">
      <alignment horizontal="center" vertical="center" wrapText="1"/>
    </xf>
    <xf numFmtId="164" fontId="13" fillId="0" borderId="2" xfId="1" applyFont="1" applyBorder="1" applyAlignment="1">
      <alignment vertical="center" wrapText="1"/>
    </xf>
    <xf numFmtId="164" fontId="13" fillId="0" borderId="2" xfId="1" applyFont="1" applyBorder="1" applyAlignment="1">
      <alignment horizontal="center" vertical="center" wrapText="1"/>
    </xf>
    <xf numFmtId="164" fontId="18" fillId="0" borderId="0" xfId="1" applyFont="1" applyAlignment="1">
      <alignment horizontal="right"/>
    </xf>
    <xf numFmtId="164" fontId="13" fillId="0" borderId="3" xfId="1" applyFont="1" applyBorder="1" applyAlignment="1">
      <alignment horizontal="center" vertical="center" wrapText="1"/>
    </xf>
    <xf numFmtId="164" fontId="17" fillId="0" borderId="0" xfId="1" applyFont="1" applyAlignment="1">
      <alignment horizontal="center" vertical="center" wrapText="1"/>
    </xf>
    <xf numFmtId="164" fontId="13" fillId="0" borderId="1" xfId="1" applyFont="1" applyBorder="1" applyAlignment="1">
      <alignment horizontal="center" vertical="center" wrapText="1"/>
    </xf>
    <xf numFmtId="164" fontId="16" fillId="3" borderId="4" xfId="1" applyFont="1" applyFill="1" applyBorder="1" applyAlignment="1">
      <alignment horizontal="center" vertical="center"/>
    </xf>
    <xf numFmtId="170" fontId="13" fillId="0" borderId="1" xfId="0" applyNumberFormat="1" applyFont="1" applyBorder="1" applyAlignment="1">
      <alignment horizontal="center" vertical="center" wrapText="1"/>
    </xf>
    <xf numFmtId="164" fontId="16" fillId="0" borderId="1" xfId="1" applyFont="1" applyBorder="1" applyAlignment="1">
      <alignment horizontal="center" vertical="center"/>
    </xf>
    <xf numFmtId="164" fontId="16" fillId="0" borderId="1" xfId="1" applyFont="1" applyBorder="1" applyAlignment="1">
      <alignment horizontal="center" vertical="center" wrapText="1"/>
    </xf>
    <xf numFmtId="164" fontId="13" fillId="0" borderId="0" xfId="1" applyNumberFormat="1" applyFont="1" applyBorder="1" applyAlignment="1">
      <alignment horizontal="center" vertical="center" wrapText="1"/>
    </xf>
    <xf numFmtId="0" fontId="13" fillId="0" borderId="0" xfId="0" applyFont="1" applyBorder="1"/>
    <xf numFmtId="167" fontId="13" fillId="0" borderId="0" xfId="1" applyNumberFormat="1" applyFont="1" applyAlignment="1">
      <alignment wrapText="1"/>
    </xf>
    <xf numFmtId="167" fontId="14" fillId="0" borderId="0" xfId="1" applyNumberFormat="1" applyFont="1"/>
    <xf numFmtId="167" fontId="13" fillId="0" borderId="2" xfId="1" applyNumberFormat="1" applyFont="1" applyBorder="1" applyAlignment="1">
      <alignment wrapText="1"/>
    </xf>
    <xf numFmtId="167" fontId="15" fillId="0" borderId="2" xfId="1" applyNumberFormat="1" applyFont="1" applyBorder="1" applyAlignment="1">
      <alignment horizontal="right"/>
    </xf>
    <xf numFmtId="167" fontId="13" fillId="0" borderId="3" xfId="1" applyNumberFormat="1" applyFont="1" applyBorder="1" applyAlignment="1">
      <alignment wrapText="1"/>
    </xf>
    <xf numFmtId="167" fontId="15" fillId="0" borderId="3" xfId="1" applyNumberFormat="1" applyFont="1" applyBorder="1" applyAlignment="1">
      <alignment horizontal="right"/>
    </xf>
    <xf numFmtId="167" fontId="14" fillId="0" borderId="0" xfId="1" applyNumberFormat="1" applyFont="1" applyAlignment="1">
      <alignment horizontal="center" vertical="center" wrapText="1"/>
    </xf>
    <xf numFmtId="167" fontId="16" fillId="3" borderId="4" xfId="1" applyNumberFormat="1" applyFont="1" applyFill="1" applyBorder="1" applyAlignment="1">
      <alignment horizontal="center" vertical="center"/>
    </xf>
    <xf numFmtId="167" fontId="13" fillId="0" borderId="1" xfId="1" applyNumberFormat="1" applyFont="1" applyBorder="1" applyAlignment="1">
      <alignment horizontal="center" vertical="center" wrapText="1"/>
    </xf>
    <xf numFmtId="167" fontId="16" fillId="0" borderId="0" xfId="1" applyNumberFormat="1" applyFont="1" applyBorder="1" applyAlignment="1">
      <alignment horizontal="center" vertical="center"/>
    </xf>
    <xf numFmtId="167" fontId="16" fillId="0" borderId="0" xfId="1" applyNumberFormat="1" applyFont="1" applyBorder="1" applyAlignment="1">
      <alignment horizontal="center" vertical="center" wrapText="1"/>
    </xf>
    <xf numFmtId="167" fontId="16" fillId="0" borderId="0" xfId="1" applyNumberFormat="1" applyFont="1" applyFill="1" applyBorder="1" applyAlignment="1">
      <alignment horizontal="center" vertical="center" wrapText="1"/>
    </xf>
    <xf numFmtId="167" fontId="13" fillId="0" borderId="0" xfId="1" applyNumberFormat="1" applyFont="1"/>
    <xf numFmtId="168" fontId="13" fillId="0" borderId="0" xfId="8" applyNumberFormat="1" applyFont="1" applyAlignment="1">
      <alignment horizontal="centerContinuous" vertical="center" wrapText="1"/>
    </xf>
    <xf numFmtId="0" fontId="13" fillId="0" borderId="0" xfId="8" applyFont="1" applyAlignment="1">
      <alignment horizontal="centerContinuous" vertical="center" wrapText="1"/>
    </xf>
    <xf numFmtId="0" fontId="15" fillId="0" borderId="0" xfId="8" applyFont="1" applyAlignment="1">
      <alignment horizontal="centerContinuous" vertical="center" wrapText="1"/>
    </xf>
    <xf numFmtId="0" fontId="4" fillId="4" borderId="1" xfId="0" applyFont="1" applyFill="1" applyBorder="1" applyAlignment="1">
      <alignment horizontal="center" vertical="center" wrapText="1"/>
    </xf>
    <xf numFmtId="164" fontId="4" fillId="4" borderId="1" xfId="1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3" fillId="0" borderId="0" xfId="8" applyFont="1" applyAlignment="1">
      <alignment horizontal="left" vertical="center" wrapText="1"/>
    </xf>
    <xf numFmtId="0" fontId="0" fillId="0" borderId="0" xfId="0" applyFill="1" applyAlignment="1">
      <alignment horizontal="center" vertical="center" wrapText="1"/>
    </xf>
    <xf numFmtId="1" fontId="4" fillId="4" borderId="1" xfId="1" applyNumberFormat="1" applyFont="1" applyFill="1" applyBorder="1" applyAlignment="1">
      <alignment horizontal="center" vertical="center" wrapText="1"/>
    </xf>
    <xf numFmtId="1" fontId="0" fillId="0" borderId="0" xfId="0" applyNumberFormat="1"/>
    <xf numFmtId="164" fontId="4" fillId="2" borderId="1" xfId="1" applyNumberFormat="1" applyFont="1" applyFill="1" applyBorder="1" applyAlignment="1">
      <alignment horizontal="center" vertical="center" wrapText="1"/>
    </xf>
    <xf numFmtId="0" fontId="0" fillId="2" borderId="0" xfId="0" applyFill="1"/>
    <xf numFmtId="0" fontId="20" fillId="0" borderId="1" xfId="0" applyFont="1" applyFill="1" applyBorder="1" applyAlignment="1">
      <alignment horizontal="center" vertical="center" wrapText="1"/>
    </xf>
    <xf numFmtId="0" fontId="20" fillId="0" borderId="1" xfId="0" applyFont="1" applyFill="1" applyBorder="1" applyAlignment="1">
      <alignment horizontal="left" vertical="center" wrapText="1"/>
    </xf>
    <xf numFmtId="0" fontId="20" fillId="0" borderId="1" xfId="0" applyFont="1" applyFill="1" applyBorder="1" applyAlignment="1">
      <alignment horizontal="center" vertical="center"/>
    </xf>
    <xf numFmtId="1" fontId="20" fillId="0" borderId="1" xfId="0" applyNumberFormat="1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164" fontId="20" fillId="0" borderId="1" xfId="1" applyNumberFormat="1" applyFont="1" applyFill="1" applyBorder="1" applyAlignment="1">
      <alignment horizontal="center" vertical="center"/>
    </xf>
    <xf numFmtId="1" fontId="20" fillId="0" borderId="1" xfId="1" applyNumberFormat="1" applyFont="1" applyFill="1" applyBorder="1" applyAlignment="1">
      <alignment horizontal="center" vertical="center"/>
    </xf>
    <xf numFmtId="0" fontId="20" fillId="0" borderId="1" xfId="0" applyNumberFormat="1" applyFont="1" applyFill="1" applyBorder="1" applyAlignment="1">
      <alignment horizontal="center" vertical="center" wrapText="1"/>
    </xf>
    <xf numFmtId="0" fontId="13" fillId="0" borderId="0" xfId="8" applyFont="1" applyAlignment="1">
      <alignment horizontal="left" vertical="center" wrapText="1"/>
    </xf>
    <xf numFmtId="0" fontId="16" fillId="0" borderId="0" xfId="8" applyFont="1" applyAlignment="1">
      <alignment horizontal="left" vertical="center" wrapText="1"/>
    </xf>
  </cellXfs>
  <cellStyles count="18">
    <cellStyle name="Normal_Legrand DIY tariff 2008 (to logistics)" xfId="4" xr:uid="{A2D1F6C4-7535-4DDD-919F-D09280642713}"/>
    <cellStyle name="Денежный 2" xfId="14" xr:uid="{878C0E9B-0158-4D8F-9689-3813C243F7ED}"/>
    <cellStyle name="Обычный" xfId="0" builtinId="0"/>
    <cellStyle name="Обычный 10" xfId="10" xr:uid="{0723D418-CF47-42F9-BB28-ADBE86303434}"/>
    <cellStyle name="Обычный 2" xfId="7" xr:uid="{0DDE0192-7698-4EC4-91C6-D77FBB8E1D22}"/>
    <cellStyle name="Обычный 2 2 2" xfId="9" xr:uid="{C251EA3F-60BC-4407-9196-5B5DD0181E26}"/>
    <cellStyle name="Обычный 2 5" xfId="6" xr:uid="{5B3E6BFA-BA52-438F-BDAE-881446EADDFD}"/>
    <cellStyle name="Обычный 22 2" xfId="8" xr:uid="{2AA26381-9980-49E5-A77E-D9F45608F225}"/>
    <cellStyle name="Обычный 22 2 13 2" xfId="13" xr:uid="{3C54A4EF-965E-4D42-B56E-ED7F509C022E}"/>
    <cellStyle name="Обычный 22 2 2" xfId="11" xr:uid="{D2004729-F6F0-46AE-A6B0-60FA7E2F9BE3}"/>
    <cellStyle name="Обычный 3 14 2 2" xfId="12" xr:uid="{200CD639-49FD-4579-BCC6-0C563CFA304E}"/>
    <cellStyle name="Финансовый" xfId="1" builtinId="3"/>
    <cellStyle name="Финансовый [0] 2" xfId="17" xr:uid="{BF1FC0F8-4668-4A88-9B8F-84DEF04288FB}"/>
    <cellStyle name="Финансовый 3 10 2 2 5" xfId="2" xr:uid="{67C8B874-951F-4429-B518-64BB69CC77FF}"/>
    <cellStyle name="Финансовый 3 10 2 2 5 2" xfId="15" xr:uid="{6B80BC0C-ED84-4C2E-8C59-4FE37496D7D6}"/>
    <cellStyle name="Финансовый 3 2" xfId="3" xr:uid="{FA9DEE80-F79D-4FCF-9E35-9FE0BDFDB76C}"/>
    <cellStyle name="Финансовый 3 2 2" xfId="16" xr:uid="{90517A30-58F5-4396-8EDE-FFAFF5B85FC3}"/>
    <cellStyle name="常规 2" xfId="5" xr:uid="{688DBCF8-84B6-4B73-9120-8535C211F861}"/>
  </cellStyles>
  <dxfs count="58"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strike val="0"/>
        <outline val="0"/>
        <shadow val="0"/>
        <vertAlign val="baseline"/>
        <sz val="9"/>
        <name val="Calibri"/>
        <family val="2"/>
        <charset val="204"/>
        <scheme val="minor"/>
      </font>
      <numFmt numFmtId="164" formatCode="_-* #,##0.00\ _₸_-;\-* #,##0.00\ _₸_-;_-* &quot;-&quot;??\ _₸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9"/>
        <name val="Calibri"/>
        <family val="2"/>
        <charset val="204"/>
        <scheme val="minor"/>
      </font>
      <numFmt numFmtId="164" formatCode="_-* #,##0.00\ _₸_-;\-* #,##0.00\ _₸_-;_-* &quot;-&quot;??\ _₸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64" formatCode="_-* #,##0.00\ _₸_-;\-* #,##0.00\ _₸_-;_-* &quot;-&quot;??\ _₸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64" formatCode="_-* #,##0.00\ _₸_-;\-* #,##0.00\ _₸_-;_-* &quot;-&quot;??\ _₸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64" formatCode="_-* #,##0.00\ _₸_-;\-* #,##0.00\ _₸_-;_-* &quot;-&quot;??\ _₸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67" formatCode="_-* #,##0\ _₸_-;\-* #,##0\ _₸_-;_-* &quot;-&quot;??\ _₸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67" formatCode="_-* #,##0\ _₸_-;\-* #,##0\ _₸_-;_-* &quot;-&quot;??\ _₸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64" formatCode="_-* #,##0.00\ _₸_-;\-* #,##0.00\ _₸_-;_-* &quot;-&quot;??\ _₸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64" formatCode="_-* #,##0.00\ _₸_-;\-* #,##0.00\ _₸_-;_-* &quot;-&quot;??\ _₸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70" formatCode="0;\-0;;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70" formatCode="0;\-0;;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70" formatCode="0;\-0;;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70" formatCode="0;\-0;;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70" formatCode="0;\-0;;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theme="1"/>
        </left>
        <top style="thin">
          <color theme="1"/>
        </top>
      </border>
    </dxf>
    <dxf>
      <font>
        <strike val="0"/>
        <outline val="0"/>
        <shadow val="0"/>
        <vertAlign val="baseline"/>
        <sz val="9"/>
        <name val="Calibri"/>
        <family val="2"/>
        <charset val="204"/>
        <scheme val="minor"/>
      </font>
      <numFmt numFmtId="170" formatCode="0;\-0;;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2.xml"/><Relationship Id="rId10" Type="http://schemas.microsoft.com/office/2006/relationships/vbaProject" Target="vbaProject.bin"/><Relationship Id="rId4" Type="http://schemas.microsoft.com/office/2007/relationships/slicerCache" Target="slicerCaches/slicerCach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KZ" sz="12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Обновление формул в КП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14</xdr:col>
      <xdr:colOff>0</xdr:colOff>
      <xdr:row>11</xdr:row>
      <xdr:rowOff>0</xdr:rowOff>
    </xdr:from>
    <xdr:to>
      <xdr:col>15</xdr:col>
      <xdr:colOff>173831</xdr:colOff>
      <xdr:row>48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Бренд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Бренд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775906" y="2952750"/>
              <a:ext cx="1828800" cy="59650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190501</xdr:colOff>
      <xdr:row>11</xdr:row>
      <xdr:rowOff>0</xdr:rowOff>
    </xdr:from>
    <xdr:to>
      <xdr:col>18</xdr:col>
      <xdr:colOff>197645</xdr:colOff>
      <xdr:row>48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Артикул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Артикул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621376" y="2952750"/>
              <a:ext cx="1828800" cy="59650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0</xdr:row>
      <xdr:rowOff>1</xdr:rowOff>
    </xdr:from>
    <xdr:to>
      <xdr:col>3</xdr:col>
      <xdr:colOff>1</xdr:colOff>
      <xdr:row>1</xdr:row>
      <xdr:rowOff>1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3" y="1"/>
          <a:ext cx="4583907" cy="1059656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4.2\!Share\Users\user\AppData\Local\Microsoft\Windows\INetCache\Content.Outlook\7G6TB4O0\&#1050;&#1055;%20&#1085;&#1072;%20&#1057;&#1040;&#1049;&#1052;&#1040;&#1053;%20&#1076;&#1083;&#1103;%20&#1087;&#1088;&#1086;&#1077;&#1082;&#1090;&#1072;%20200%20&#1043;&#104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ланк КП"/>
      <sheetName val="Лист2"/>
    </sheetNames>
    <sheetDataSet>
      <sheetData sheetId="0">
        <row r="3">
          <cell r="C3" t="str">
            <v>Акылханов АЛМАС</v>
          </cell>
        </row>
        <row r="5">
          <cell r="C5" t="str">
            <v>Койшибаев Кемаль Баянгалиевич</v>
          </cell>
        </row>
        <row r="7">
          <cell r="C7" t="str">
            <v>Саликов ШАПАГАТ</v>
          </cell>
        </row>
        <row r="8">
          <cell r="C8" t="str">
            <v>Аюбеков ЕРАСЫЛ</v>
          </cell>
        </row>
        <row r="9">
          <cell r="C9" t="str">
            <v>Беркинбаев УЛГАС</v>
          </cell>
        </row>
        <row r="10">
          <cell r="C10" t="str">
            <v>Алакаева УМЕТ</v>
          </cell>
        </row>
        <row r="11">
          <cell r="C11" t="str">
            <v>Тұрғынбай НУРКЕН</v>
          </cell>
        </row>
        <row r="12">
          <cell r="C12" t="str">
            <v>Рахметова ЮЛЬНАС</v>
          </cell>
        </row>
      </sheetData>
      <sheetData sheetId="1" refreshError="1"/>
    </sheetDataSet>
  </externalBook>
</externalLink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Бренд" xr10:uid="{CF87FF9D-1D88-4825-9E1F-9566531E60D5}" sourceName="Бренд">
  <extLst>
    <x:ext xmlns:x15="http://schemas.microsoft.com/office/spreadsheetml/2010/11/main" uri="{2F2917AC-EB37-4324-AD4E-5DD8C200BD13}">
      <x15:tableSlicerCache tableId="5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Артикул" xr10:uid="{9EDE9FE4-8F0C-442B-96F0-86ADB069AE14}" sourceName="Артикул">
  <extLst>
    <x:ext xmlns:x15="http://schemas.microsoft.com/office/spreadsheetml/2010/11/main" uri="{2F2917AC-EB37-4324-AD4E-5DD8C200BD13}">
      <x15:tableSlicerCache tableId="5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Бренд" xr10:uid="{7D6E7B91-B194-4DCF-9DDC-3B9FD2656252}" cache="Срез_Бренд" caption="Бренд" rowHeight="241300"/>
  <slicer name="Артикул" xr10:uid="{62090520-E061-45C9-ADA2-4C7F7C08E726}" cache="Срез_Артикул" caption="Артикул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FEF4016-C72F-484A-A243-1F21CCAC64DC}" name="Таблица5" displayName="Таблица5" ref="A12:N500" totalsRowShown="0" headerRowDxfId="57" dataDxfId="56" tableBorderDxfId="55">
  <autoFilter ref="A12:N500" xr:uid="{7FEF4016-C72F-484A-A243-1F21CCAC64DC}"/>
  <tableColumns count="14">
    <tableColumn id="1" xr3:uid="{A5F93976-8613-4031-9F54-7AB3E9B79508}" name="Бренд" dataDxfId="54">
      <calculatedColumnFormula>IFERROR('WV 4.0'!A2, " ")</calculatedColumnFormula>
    </tableColumn>
    <tableColumn id="2" xr3:uid="{D1B999AB-41AD-4575-B9EA-8669ED47AD8D}" name="Артикул" dataDxfId="53">
      <calculatedColumnFormula>IFERROR('WV 4.0'!B2, " ")</calculatedColumnFormula>
    </tableColumn>
    <tableColumn id="3" xr3:uid="{C6090A36-89E9-4DCA-A753-D13DDF52BE56}" name="Наименование" dataDxfId="52">
      <calculatedColumnFormula>IFERROR('WV 4.0'!C2, " ")</calculatedColumnFormula>
    </tableColumn>
    <tableColumn id="4" xr3:uid="{CE9ADD70-D876-493D-9125-6751C3AEF3B5}" name="Ед. изм." dataDxfId="51">
      <calculatedColumnFormula>IFERROR('WV 4.0'!D2, " ")</calculatedColumnFormula>
    </tableColumn>
    <tableColumn id="5" xr3:uid="{7926DF4B-1F15-47C0-B5EE-AA4794CEB9B4}" name="Кол-во" dataDxfId="50">
      <calculatedColumnFormula>IFERROR('WV 4.0'!E2, " ")</calculatedColumnFormula>
    </tableColumn>
    <tableColumn id="8" xr3:uid="{2F33FCD3-A11A-4C07-A820-691325201334}" name="Цена КП" dataDxfId="49" dataCellStyle="Финансовый">
      <calculatedColumnFormula>IFERROR(ROUND(HLOOKUP(Таблица5[[#Headers],[Цена КП]],'WV 4.0'!$A:$N,ROW('WV 4.0'!2:2),0),0),"")</calculatedColumnFormula>
    </tableColumn>
    <tableColumn id="9" xr3:uid="{A4912DD9-C4AD-4A8E-B61A-506C2AA99599}" name="Сумма КП" dataDxfId="48" dataCellStyle="Финансовый">
      <calculatedColumnFormula>IFERROR(Таблица5[[#This Row],[Цена КП]]*Таблица5[[#This Row],[Кол-во]],"")</calculatedColumnFormula>
    </tableColumn>
    <tableColumn id="10" xr3:uid="{FB7EF3E4-123B-4AC5-BD2D-45D7312D0CB5}" name="Комментарии" dataDxfId="47" dataCellStyle="Финансовый">
      <calculatedColumnFormula>IFERROR(HLOOKUP(Таблица5[[#Headers],[Комментарии]],'WV 4.0'!$A:$N,ROW('WV 4.0'!2:2),0),"")</calculatedColumnFormula>
    </tableColumn>
    <tableColumn id="11" xr3:uid="{7DBB1B6E-A695-4F0D-B570-53A6E3FFB4F7}" name="Срок поставки" dataDxfId="46" dataCellStyle="Финансовый">
      <calculatedColumnFormula>IFERROR(HLOOKUP(Таблица5[[#Headers],[Срок поставки]],'WV 4.0'!$A:$N,ROW('WV 4.0'!2:2),0),"")</calculatedColumnFormula>
    </tableColumn>
    <tableColumn id="12" xr3:uid="{BD38BDBB-C088-43A2-9D34-61EAABDBCD95}" name="Цена КазНИИСА" dataDxfId="45" dataCellStyle="Финансовый">
      <calculatedColumnFormula>IFERROR(HLOOKUP(Таблица5[[#Headers],[Цена КазНИИСА]],'WV 4.0'!$A:$N,ROW('WV 4.0'!2:2),0),"")</calculatedColumnFormula>
    </tableColumn>
    <tableColumn id="13" xr3:uid="{620F12C5-342B-4EA2-A0EA-16B6BCDDE9E1}" name="Сумма КазНИИСА" dataDxfId="44" dataCellStyle="Финансовый">
      <calculatedColumnFormula>IFERROR(HLOOKUP(Таблица5[[#Headers],[Сумма КазНИИСА]],'WV 4.0'!$A:$N,ROW('WV 4.0'!2:2),0),"")</calculatedColumnFormula>
    </tableColumn>
    <tableColumn id="14" xr3:uid="{F8F10D24-F5C3-4B52-9960-62E29FD521A1}" name="Код КазНИИСА" dataDxfId="43" dataCellStyle="Финансовый">
      <calculatedColumnFormula>IFERROR(HLOOKUP(Таблица5[[#Headers],[Код КазНИИСА]],'WV 4.0'!$A:$N,ROW('WV 4.0'!2:2),0),"")</calculatedColumnFormula>
    </tableColumn>
    <tableColumn id="15" xr3:uid="{AA06142D-A1D9-4C7D-829E-3934E275D7CF}" name="РРЦ в тнг" dataDxfId="42" dataCellStyle="Финансовый">
      <calculatedColumnFormula>IFERROR(HLOOKUP(Таблица5[[#Headers],[РРЦ в тнг]],'WV 4.0'!$A:$N,ROW('WV 4.0'!2:2),0),"")</calculatedColumnFormula>
    </tableColumn>
    <tableColumn id="16" xr3:uid="{167D71B4-4B97-42A6-9EF7-E908BD2566C2}" name="Сумма РРЦ" dataDxfId="41" dataCellStyle="Финансовый">
      <calculatedColumnFormula>IFERROR(HLOOKUP(Таблица5[[#Headers],[Сумма РРЦ]],'WV 4.0'!$A:$N,ROW('WV 4.0'!2:2),0),"")</calculatedColumnFormula>
    </tableColumn>
  </tableColumns>
  <tableStyleInfo name="TableStyleLight15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A5A62-CBA5-4079-A5CC-32524DB13DFD}">
  <sheetPr codeName="Лист2">
    <tabColor rgb="FFFF0000"/>
  </sheetPr>
  <dimension ref="A1:N500"/>
  <sheetViews>
    <sheetView tabSelected="1" zoomScale="98" zoomScaleNormal="98" workbookViewId="0">
      <pane ySplit="1" topLeftCell="A2" activePane="bottomLeft" state="frozen"/>
      <selection activeCell="J19" sqref="J19"/>
      <selection pane="bottomLeft" activeCell="C14" sqref="C14"/>
    </sheetView>
  </sheetViews>
  <sheetFormatPr defaultColWidth="9.109375" defaultRowHeight="14.4" outlineLevelCol="1" x14ac:dyDescent="0.3"/>
  <cols>
    <col min="1" max="1" width="20.6640625" style="54" customWidth="1"/>
    <col min="2" max="2" width="20.6640625" style="55" customWidth="1"/>
    <col min="3" max="3" width="50" style="57" customWidth="1"/>
    <col min="4" max="4" width="10.5546875" customWidth="1"/>
    <col min="5" max="5" width="10.33203125" style="59" customWidth="1"/>
    <col min="6" max="6" width="13.109375" style="59" customWidth="1"/>
    <col min="7" max="7" width="18.109375" style="61" hidden="1" customWidth="1" outlineLevel="1"/>
    <col min="8" max="8" width="20.33203125" style="53" customWidth="1" collapsed="1"/>
    <col min="9" max="9" width="20.109375" style="53" customWidth="1"/>
    <col min="10" max="10" width="16" style="53" customWidth="1"/>
    <col min="11" max="11" width="17.33203125" style="53" customWidth="1"/>
    <col min="12" max="12" width="21.44140625" style="53" customWidth="1"/>
    <col min="13" max="13" width="23.44140625" style="55" customWidth="1"/>
    <col min="14" max="14" width="19.109375" style="55" customWidth="1"/>
  </cols>
  <sheetData>
    <row r="1" spans="1:14" s="1" customFormat="1" ht="49.5" customHeight="1" x14ac:dyDescent="0.3">
      <c r="A1" s="50" t="s">
        <v>2</v>
      </c>
      <c r="B1" s="50" t="s">
        <v>0</v>
      </c>
      <c r="C1" s="50" t="s">
        <v>5</v>
      </c>
      <c r="D1" s="50" t="s">
        <v>1</v>
      </c>
      <c r="E1" s="58" t="s">
        <v>6</v>
      </c>
      <c r="F1" s="58" t="s">
        <v>3</v>
      </c>
      <c r="G1" s="60" t="s">
        <v>7</v>
      </c>
      <c r="H1" s="51" t="s">
        <v>15</v>
      </c>
      <c r="I1" s="51" t="s">
        <v>9</v>
      </c>
      <c r="J1" s="51" t="s">
        <v>8</v>
      </c>
      <c r="K1" s="51" t="s">
        <v>10</v>
      </c>
      <c r="L1" s="51" t="s">
        <v>4</v>
      </c>
      <c r="M1" s="51" t="s">
        <v>32</v>
      </c>
      <c r="N1" s="51" t="s">
        <v>33</v>
      </c>
    </row>
    <row r="2" spans="1:14" x14ac:dyDescent="0.3">
      <c r="A2" s="62"/>
      <c r="B2" s="62"/>
      <c r="C2" s="63"/>
      <c r="D2" s="64"/>
      <c r="E2" s="65"/>
      <c r="F2" s="65"/>
      <c r="G2" s="66"/>
      <c r="H2" s="67"/>
      <c r="I2" s="67"/>
      <c r="J2" s="67"/>
      <c r="K2" s="67"/>
      <c r="L2" s="67"/>
      <c r="M2" s="62"/>
      <c r="N2" s="62"/>
    </row>
    <row r="3" spans="1:14" x14ac:dyDescent="0.3">
      <c r="A3" s="62"/>
      <c r="B3" s="62"/>
      <c r="C3" s="63"/>
      <c r="D3" s="64"/>
      <c r="E3" s="65"/>
      <c r="F3" s="65"/>
      <c r="G3" s="66"/>
      <c r="H3" s="67"/>
      <c r="I3" s="67"/>
      <c r="J3" s="67"/>
      <c r="K3" s="67"/>
      <c r="L3" s="67"/>
      <c r="M3" s="62"/>
      <c r="N3" s="62"/>
    </row>
    <row r="4" spans="1:14" x14ac:dyDescent="0.3">
      <c r="A4" s="62"/>
      <c r="B4" s="62"/>
      <c r="C4" s="63"/>
      <c r="D4" s="64"/>
      <c r="E4" s="65"/>
      <c r="F4" s="65"/>
      <c r="G4" s="66"/>
      <c r="H4" s="67"/>
      <c r="I4" s="67"/>
      <c r="J4" s="67"/>
      <c r="K4" s="67"/>
      <c r="L4" s="67"/>
      <c r="M4" s="62"/>
      <c r="N4" s="62"/>
    </row>
    <row r="5" spans="1:14" x14ac:dyDescent="0.3">
      <c r="A5" s="62"/>
      <c r="B5" s="62"/>
      <c r="C5" s="63"/>
      <c r="D5" s="64"/>
      <c r="E5" s="65"/>
      <c r="F5" s="65"/>
      <c r="G5" s="66"/>
      <c r="H5" s="67"/>
      <c r="I5" s="67"/>
      <c r="J5" s="67"/>
      <c r="K5" s="67"/>
      <c r="L5" s="67"/>
      <c r="M5" s="62"/>
      <c r="N5" s="62"/>
    </row>
    <row r="6" spans="1:14" x14ac:dyDescent="0.3">
      <c r="A6" s="62"/>
      <c r="B6" s="62"/>
      <c r="C6" s="63"/>
      <c r="D6" s="64"/>
      <c r="E6" s="65"/>
      <c r="F6" s="65"/>
      <c r="G6" s="66"/>
      <c r="H6" s="67"/>
      <c r="I6" s="67"/>
      <c r="J6" s="67"/>
      <c r="K6" s="67"/>
      <c r="L6" s="67"/>
      <c r="M6" s="62"/>
      <c r="N6" s="62"/>
    </row>
    <row r="7" spans="1:14" x14ac:dyDescent="0.3">
      <c r="A7" s="62"/>
      <c r="B7" s="62"/>
      <c r="C7" s="63"/>
      <c r="D7" s="64"/>
      <c r="E7" s="65"/>
      <c r="F7" s="65"/>
      <c r="G7" s="66"/>
      <c r="H7" s="67"/>
      <c r="I7" s="67"/>
      <c r="J7" s="67"/>
      <c r="K7" s="67"/>
      <c r="L7" s="67"/>
      <c r="M7" s="62"/>
      <c r="N7" s="62"/>
    </row>
    <row r="8" spans="1:14" x14ac:dyDescent="0.3">
      <c r="A8" s="62"/>
      <c r="B8" s="62"/>
      <c r="C8" s="63"/>
      <c r="D8" s="64"/>
      <c r="E8" s="65"/>
      <c r="F8" s="65"/>
      <c r="G8" s="66"/>
      <c r="H8" s="67"/>
      <c r="I8" s="67"/>
      <c r="J8" s="67"/>
      <c r="K8" s="67"/>
      <c r="L8" s="67"/>
      <c r="M8" s="62"/>
      <c r="N8" s="62"/>
    </row>
    <row r="9" spans="1:14" x14ac:dyDescent="0.3">
      <c r="A9" s="62"/>
      <c r="B9" s="62"/>
      <c r="C9" s="63"/>
      <c r="D9" s="64"/>
      <c r="E9" s="65"/>
      <c r="F9" s="65"/>
      <c r="G9" s="66"/>
      <c r="H9" s="67"/>
      <c r="I9" s="67"/>
      <c r="J9" s="67"/>
      <c r="K9" s="67"/>
      <c r="L9" s="67"/>
      <c r="M9" s="62"/>
      <c r="N9" s="62"/>
    </row>
    <row r="10" spans="1:14" x14ac:dyDescent="0.3">
      <c r="A10" s="62"/>
      <c r="B10" s="62"/>
      <c r="C10" s="63"/>
      <c r="D10" s="64"/>
      <c r="E10" s="65"/>
      <c r="F10" s="65"/>
      <c r="G10" s="66"/>
      <c r="H10" s="67"/>
      <c r="I10" s="67"/>
      <c r="J10" s="67"/>
      <c r="K10" s="67"/>
      <c r="L10" s="67"/>
      <c r="M10" s="62"/>
      <c r="N10" s="62"/>
    </row>
    <row r="11" spans="1:14" x14ac:dyDescent="0.3">
      <c r="A11" s="62"/>
      <c r="B11" s="62"/>
      <c r="C11" s="63"/>
      <c r="D11" s="64"/>
      <c r="E11" s="65"/>
      <c r="F11" s="65"/>
      <c r="G11" s="66"/>
      <c r="H11" s="67"/>
      <c r="I11" s="67"/>
      <c r="J11" s="67"/>
      <c r="K11" s="67"/>
      <c r="L11" s="67"/>
      <c r="M11" s="62"/>
      <c r="N11" s="62"/>
    </row>
    <row r="12" spans="1:14" x14ac:dyDescent="0.3">
      <c r="A12" s="62"/>
      <c r="B12" s="62"/>
      <c r="C12" s="63"/>
      <c r="D12" s="64"/>
      <c r="E12" s="65"/>
      <c r="F12" s="65"/>
      <c r="G12" s="66"/>
      <c r="H12" s="67"/>
      <c r="I12" s="67"/>
      <c r="J12" s="67"/>
      <c r="K12" s="67"/>
      <c r="L12" s="67"/>
      <c r="M12" s="62"/>
      <c r="N12" s="62"/>
    </row>
    <row r="13" spans="1:14" x14ac:dyDescent="0.3">
      <c r="A13" s="62"/>
      <c r="B13" s="62"/>
      <c r="C13" s="63"/>
      <c r="D13" s="64"/>
      <c r="E13" s="65"/>
      <c r="F13" s="65"/>
      <c r="G13" s="66"/>
      <c r="H13" s="67"/>
      <c r="I13" s="67"/>
      <c r="J13" s="67"/>
      <c r="K13" s="67"/>
      <c r="L13" s="67"/>
      <c r="M13" s="62"/>
      <c r="N13" s="62"/>
    </row>
    <row r="14" spans="1:14" x14ac:dyDescent="0.3">
      <c r="A14" s="62"/>
      <c r="B14" s="62"/>
      <c r="C14" s="63"/>
      <c r="D14" s="64"/>
      <c r="E14" s="65"/>
      <c r="F14" s="65"/>
      <c r="G14" s="66"/>
      <c r="H14" s="67"/>
      <c r="I14" s="67"/>
      <c r="J14" s="67"/>
      <c r="K14" s="67"/>
      <c r="L14" s="67"/>
      <c r="M14" s="62"/>
      <c r="N14" s="62"/>
    </row>
    <row r="15" spans="1:14" x14ac:dyDescent="0.3">
      <c r="A15" s="62"/>
      <c r="B15" s="62"/>
      <c r="C15" s="63"/>
      <c r="D15" s="64"/>
      <c r="E15" s="65"/>
      <c r="F15" s="65"/>
      <c r="G15" s="66"/>
      <c r="H15" s="67"/>
      <c r="I15" s="67"/>
      <c r="J15" s="67"/>
      <c r="K15" s="67"/>
      <c r="L15" s="67"/>
      <c r="M15" s="62"/>
      <c r="N15" s="62"/>
    </row>
    <row r="16" spans="1:14" x14ac:dyDescent="0.3">
      <c r="A16" s="62"/>
      <c r="B16" s="62"/>
      <c r="C16" s="63"/>
      <c r="D16" s="64"/>
      <c r="E16" s="65"/>
      <c r="F16" s="65"/>
      <c r="G16" s="66"/>
      <c r="H16" s="67"/>
      <c r="I16" s="67"/>
      <c r="J16" s="67"/>
      <c r="K16" s="67"/>
      <c r="L16" s="67"/>
      <c r="M16" s="62"/>
      <c r="N16" s="62"/>
    </row>
    <row r="17" spans="1:14" x14ac:dyDescent="0.3">
      <c r="A17" s="62"/>
      <c r="B17" s="62"/>
      <c r="C17" s="63"/>
      <c r="D17" s="64"/>
      <c r="E17" s="65"/>
      <c r="F17" s="65"/>
      <c r="G17" s="66"/>
      <c r="H17" s="67"/>
      <c r="I17" s="67"/>
      <c r="J17" s="67"/>
      <c r="K17" s="67"/>
      <c r="L17" s="67"/>
      <c r="M17" s="62"/>
      <c r="N17" s="62"/>
    </row>
    <row r="18" spans="1:14" x14ac:dyDescent="0.3">
      <c r="A18" s="62"/>
      <c r="B18" s="62"/>
      <c r="C18" s="63"/>
      <c r="D18" s="64"/>
      <c r="E18" s="68"/>
      <c r="F18" s="65"/>
      <c r="G18" s="66"/>
      <c r="H18" s="67"/>
      <c r="I18" s="67"/>
      <c r="J18" s="67"/>
      <c r="K18" s="67"/>
      <c r="L18" s="67"/>
      <c r="M18" s="62"/>
      <c r="N18" s="62"/>
    </row>
    <row r="19" spans="1:14" x14ac:dyDescent="0.3">
      <c r="A19" s="62"/>
      <c r="B19" s="62"/>
      <c r="C19" s="63"/>
      <c r="D19" s="64"/>
      <c r="E19" s="65"/>
      <c r="F19" s="65"/>
      <c r="G19" s="66"/>
      <c r="H19" s="67"/>
      <c r="I19" s="67"/>
      <c r="J19" s="67"/>
      <c r="K19" s="67"/>
      <c r="L19" s="67"/>
      <c r="M19" s="62"/>
      <c r="N19" s="62"/>
    </row>
    <row r="20" spans="1:14" s="52" customFormat="1" x14ac:dyDescent="0.3">
      <c r="A20" s="62"/>
      <c r="B20" s="62"/>
      <c r="C20" s="63"/>
      <c r="D20" s="64"/>
      <c r="E20" s="65"/>
      <c r="F20" s="65"/>
      <c r="G20" s="66"/>
      <c r="H20" s="67"/>
      <c r="I20" s="67"/>
      <c r="J20" s="67"/>
      <c r="K20" s="67"/>
      <c r="L20" s="67"/>
      <c r="M20" s="62"/>
      <c r="N20" s="62"/>
    </row>
    <row r="21" spans="1:14" s="52" customFormat="1" x14ac:dyDescent="0.3">
      <c r="A21" s="62"/>
      <c r="B21" s="62"/>
      <c r="C21" s="63"/>
      <c r="D21" s="64"/>
      <c r="E21" s="65"/>
      <c r="F21" s="65"/>
      <c r="G21" s="66"/>
      <c r="H21" s="67"/>
      <c r="I21" s="67"/>
      <c r="J21" s="67"/>
      <c r="K21" s="67"/>
      <c r="L21" s="67"/>
      <c r="M21" s="62"/>
      <c r="N21" s="62"/>
    </row>
    <row r="22" spans="1:14" s="52" customFormat="1" x14ac:dyDescent="0.3">
      <c r="A22" s="62"/>
      <c r="B22" s="62"/>
      <c r="C22" s="63"/>
      <c r="D22" s="64"/>
      <c r="E22" s="65"/>
      <c r="F22" s="65"/>
      <c r="G22" s="66"/>
      <c r="H22" s="67"/>
      <c r="I22" s="67"/>
      <c r="J22" s="67"/>
      <c r="K22" s="67"/>
      <c r="L22" s="67"/>
      <c r="M22" s="62"/>
      <c r="N22" s="62"/>
    </row>
    <row r="23" spans="1:14" s="52" customFormat="1" x14ac:dyDescent="0.3">
      <c r="A23" s="62"/>
      <c r="B23" s="62"/>
      <c r="C23" s="63"/>
      <c r="D23" s="64"/>
      <c r="E23" s="65"/>
      <c r="F23" s="65"/>
      <c r="G23" s="66"/>
      <c r="H23" s="67"/>
      <c r="I23" s="67"/>
      <c r="J23" s="67"/>
      <c r="K23" s="67"/>
      <c r="L23" s="67"/>
      <c r="M23" s="62"/>
      <c r="N23" s="62"/>
    </row>
    <row r="24" spans="1:14" s="52" customFormat="1" x14ac:dyDescent="0.3">
      <c r="A24" s="62"/>
      <c r="B24" s="62"/>
      <c r="C24" s="63"/>
      <c r="D24" s="64"/>
      <c r="E24" s="65"/>
      <c r="F24" s="65"/>
      <c r="G24" s="66"/>
      <c r="H24" s="67"/>
      <c r="I24" s="67"/>
      <c r="J24" s="67"/>
      <c r="K24" s="67"/>
      <c r="L24" s="67"/>
      <c r="M24" s="62"/>
      <c r="N24" s="62"/>
    </row>
    <row r="25" spans="1:14" s="52" customFormat="1" x14ac:dyDescent="0.3">
      <c r="A25" s="62"/>
      <c r="B25" s="62"/>
      <c r="C25" s="63"/>
      <c r="D25" s="64"/>
      <c r="E25" s="65"/>
      <c r="F25" s="65"/>
      <c r="G25" s="66"/>
      <c r="H25" s="67"/>
      <c r="I25" s="67"/>
      <c r="J25" s="67"/>
      <c r="K25" s="67"/>
      <c r="L25" s="67"/>
      <c r="M25" s="62"/>
      <c r="N25" s="62"/>
    </row>
    <row r="26" spans="1:14" s="52" customFormat="1" x14ac:dyDescent="0.3">
      <c r="A26" s="62"/>
      <c r="B26" s="62"/>
      <c r="C26" s="63"/>
      <c r="D26" s="64"/>
      <c r="E26" s="65"/>
      <c r="F26" s="65"/>
      <c r="G26" s="66"/>
      <c r="H26" s="67"/>
      <c r="I26" s="67"/>
      <c r="J26" s="67"/>
      <c r="K26" s="67"/>
      <c r="L26" s="67"/>
      <c r="M26" s="62"/>
      <c r="N26" s="62"/>
    </row>
    <row r="27" spans="1:14" s="52" customFormat="1" x14ac:dyDescent="0.3">
      <c r="A27" s="62"/>
      <c r="B27" s="62"/>
      <c r="C27" s="63"/>
      <c r="D27" s="64"/>
      <c r="E27" s="65"/>
      <c r="F27" s="65"/>
      <c r="G27" s="66"/>
      <c r="H27" s="67"/>
      <c r="I27" s="67"/>
      <c r="J27" s="67"/>
      <c r="K27" s="67"/>
      <c r="L27" s="67"/>
      <c r="M27" s="62"/>
      <c r="N27" s="62"/>
    </row>
    <row r="28" spans="1:14" s="52" customFormat="1" x14ac:dyDescent="0.3">
      <c r="A28" s="62"/>
      <c r="B28" s="62"/>
      <c r="C28" s="63"/>
      <c r="D28" s="64"/>
      <c r="E28" s="65"/>
      <c r="F28" s="65"/>
      <c r="G28" s="66"/>
      <c r="H28" s="67"/>
      <c r="I28" s="67"/>
      <c r="J28" s="67"/>
      <c r="K28" s="67"/>
      <c r="L28" s="67"/>
      <c r="M28" s="62"/>
      <c r="N28" s="62"/>
    </row>
    <row r="29" spans="1:14" s="52" customFormat="1" x14ac:dyDescent="0.3">
      <c r="A29" s="62"/>
      <c r="B29" s="62"/>
      <c r="C29" s="63"/>
      <c r="D29" s="64"/>
      <c r="E29" s="65"/>
      <c r="F29" s="65"/>
      <c r="G29" s="66"/>
      <c r="H29" s="67"/>
      <c r="I29" s="67"/>
      <c r="J29" s="67"/>
      <c r="K29" s="67"/>
      <c r="L29" s="67"/>
      <c r="M29" s="62"/>
      <c r="N29" s="62"/>
    </row>
    <row r="30" spans="1:14" s="52" customFormat="1" x14ac:dyDescent="0.3">
      <c r="A30" s="62"/>
      <c r="B30" s="62"/>
      <c r="C30" s="63"/>
      <c r="D30" s="64"/>
      <c r="E30" s="65"/>
      <c r="F30" s="65"/>
      <c r="G30" s="66"/>
      <c r="H30" s="67"/>
      <c r="I30" s="67"/>
      <c r="J30" s="67"/>
      <c r="K30" s="67"/>
      <c r="L30" s="67"/>
      <c r="M30" s="62"/>
      <c r="N30" s="62"/>
    </row>
    <row r="31" spans="1:14" s="52" customFormat="1" x14ac:dyDescent="0.3">
      <c r="A31" s="62"/>
      <c r="B31" s="62"/>
      <c r="C31" s="63"/>
      <c r="D31" s="64"/>
      <c r="E31" s="65"/>
      <c r="F31" s="65"/>
      <c r="G31" s="66"/>
      <c r="H31" s="67"/>
      <c r="I31" s="67"/>
      <c r="J31" s="67"/>
      <c r="K31" s="67"/>
      <c r="L31" s="67"/>
      <c r="M31" s="62"/>
      <c r="N31" s="62"/>
    </row>
    <row r="32" spans="1:14" s="52" customFormat="1" x14ac:dyDescent="0.3">
      <c r="A32" s="62"/>
      <c r="B32" s="62"/>
      <c r="C32" s="63"/>
      <c r="D32" s="64"/>
      <c r="E32" s="65"/>
      <c r="F32" s="65"/>
      <c r="G32" s="66"/>
      <c r="H32" s="67"/>
      <c r="I32" s="67"/>
      <c r="J32" s="67"/>
      <c r="K32" s="67"/>
      <c r="L32" s="67"/>
      <c r="M32" s="62"/>
      <c r="N32" s="62"/>
    </row>
    <row r="33" spans="1:14" s="52" customFormat="1" x14ac:dyDescent="0.3">
      <c r="A33" s="62"/>
      <c r="B33" s="62"/>
      <c r="C33" s="63"/>
      <c r="D33" s="64"/>
      <c r="E33" s="65"/>
      <c r="F33" s="65"/>
      <c r="G33" s="66"/>
      <c r="H33" s="67"/>
      <c r="I33" s="67"/>
      <c r="J33" s="67"/>
      <c r="K33" s="67"/>
      <c r="L33" s="67"/>
      <c r="M33" s="62"/>
      <c r="N33" s="62"/>
    </row>
    <row r="34" spans="1:14" s="52" customFormat="1" x14ac:dyDescent="0.3">
      <c r="A34" s="62"/>
      <c r="B34" s="62"/>
      <c r="C34" s="63"/>
      <c r="D34" s="64"/>
      <c r="E34" s="65"/>
      <c r="F34" s="65"/>
      <c r="G34" s="66"/>
      <c r="H34" s="67"/>
      <c r="I34" s="67"/>
      <c r="J34" s="67"/>
      <c r="K34" s="67"/>
      <c r="L34" s="67"/>
      <c r="M34" s="62"/>
      <c r="N34" s="62"/>
    </row>
    <row r="35" spans="1:14" s="52" customFormat="1" x14ac:dyDescent="0.3">
      <c r="A35" s="62"/>
      <c r="B35" s="62"/>
      <c r="C35" s="63"/>
      <c r="D35" s="64"/>
      <c r="E35" s="65"/>
      <c r="F35" s="65"/>
      <c r="G35" s="66"/>
      <c r="H35" s="67"/>
      <c r="I35" s="67"/>
      <c r="J35" s="67"/>
      <c r="K35" s="67"/>
      <c r="L35" s="67"/>
      <c r="M35" s="62"/>
      <c r="N35" s="62"/>
    </row>
    <row r="36" spans="1:14" s="52" customFormat="1" x14ac:dyDescent="0.3">
      <c r="A36" s="62"/>
      <c r="B36" s="62"/>
      <c r="C36" s="63"/>
      <c r="D36" s="64"/>
      <c r="E36" s="65"/>
      <c r="F36" s="65"/>
      <c r="G36" s="66"/>
      <c r="H36" s="67"/>
      <c r="I36" s="67"/>
      <c r="J36" s="67"/>
      <c r="K36" s="67"/>
      <c r="L36" s="67"/>
      <c r="M36" s="62"/>
      <c r="N36" s="62"/>
    </row>
    <row r="37" spans="1:14" s="52" customFormat="1" x14ac:dyDescent="0.3">
      <c r="A37" s="62"/>
      <c r="B37" s="62"/>
      <c r="C37" s="63"/>
      <c r="D37" s="64"/>
      <c r="E37" s="65"/>
      <c r="F37" s="65"/>
      <c r="G37" s="66"/>
      <c r="H37" s="67"/>
      <c r="I37" s="67"/>
      <c r="J37" s="67"/>
      <c r="K37" s="67"/>
      <c r="L37" s="67"/>
      <c r="M37" s="62"/>
      <c r="N37" s="62"/>
    </row>
    <row r="38" spans="1:14" s="52" customFormat="1" x14ac:dyDescent="0.3">
      <c r="A38" s="62"/>
      <c r="B38" s="62"/>
      <c r="C38" s="63"/>
      <c r="D38" s="64"/>
      <c r="E38" s="65"/>
      <c r="F38" s="65"/>
      <c r="G38" s="66"/>
      <c r="H38" s="67"/>
      <c r="I38" s="67"/>
      <c r="J38" s="67"/>
      <c r="K38" s="67"/>
      <c r="L38" s="67"/>
      <c r="M38" s="62"/>
      <c r="N38" s="62"/>
    </row>
    <row r="39" spans="1:14" s="52" customFormat="1" x14ac:dyDescent="0.3">
      <c r="A39" s="62"/>
      <c r="B39" s="62"/>
      <c r="C39" s="63"/>
      <c r="D39" s="64"/>
      <c r="E39" s="65"/>
      <c r="F39" s="65"/>
      <c r="G39" s="66"/>
      <c r="H39" s="67"/>
      <c r="I39" s="67"/>
      <c r="J39" s="67"/>
      <c r="K39" s="67"/>
      <c r="L39" s="67"/>
      <c r="M39" s="62"/>
      <c r="N39" s="62"/>
    </row>
    <row r="40" spans="1:14" s="52" customFormat="1" x14ac:dyDescent="0.3">
      <c r="A40" s="62"/>
      <c r="B40" s="62"/>
      <c r="C40" s="63"/>
      <c r="D40" s="64"/>
      <c r="E40" s="65"/>
      <c r="F40" s="65"/>
      <c r="G40" s="66"/>
      <c r="H40" s="67"/>
      <c r="I40" s="67"/>
      <c r="J40" s="67"/>
      <c r="K40" s="67"/>
      <c r="L40" s="67"/>
      <c r="M40" s="62"/>
      <c r="N40" s="62"/>
    </row>
    <row r="41" spans="1:14" s="52" customFormat="1" x14ac:dyDescent="0.3">
      <c r="A41" s="62"/>
      <c r="B41" s="62"/>
      <c r="C41" s="63"/>
      <c r="D41" s="64"/>
      <c r="E41" s="65"/>
      <c r="F41" s="65"/>
      <c r="G41" s="66"/>
      <c r="H41" s="67"/>
      <c r="I41" s="67"/>
      <c r="J41" s="67"/>
      <c r="K41" s="67"/>
      <c r="L41" s="67"/>
      <c r="M41" s="62"/>
      <c r="N41" s="62"/>
    </row>
    <row r="42" spans="1:14" x14ac:dyDescent="0.3">
      <c r="A42" s="62"/>
      <c r="B42" s="62"/>
      <c r="C42" s="63"/>
      <c r="D42" s="64"/>
      <c r="E42" s="65"/>
      <c r="F42" s="65"/>
      <c r="G42" s="66"/>
      <c r="H42" s="67"/>
      <c r="I42" s="67"/>
      <c r="J42" s="67"/>
      <c r="K42" s="67"/>
      <c r="L42" s="67"/>
      <c r="M42" s="62"/>
      <c r="N42" s="62"/>
    </row>
    <row r="43" spans="1:14" x14ac:dyDescent="0.3">
      <c r="A43" s="62"/>
      <c r="B43" s="62"/>
      <c r="C43" s="63"/>
      <c r="D43" s="64"/>
      <c r="E43" s="65"/>
      <c r="F43" s="65"/>
      <c r="G43" s="66"/>
      <c r="H43" s="67"/>
      <c r="I43" s="67"/>
      <c r="J43" s="67"/>
      <c r="K43" s="67"/>
      <c r="L43" s="67"/>
      <c r="M43" s="62"/>
      <c r="N43" s="62"/>
    </row>
    <row r="44" spans="1:14" x14ac:dyDescent="0.3">
      <c r="A44" s="62"/>
      <c r="B44" s="62"/>
      <c r="C44" s="63"/>
      <c r="D44" s="64"/>
      <c r="E44" s="65"/>
      <c r="F44" s="65"/>
      <c r="G44" s="66"/>
      <c r="H44" s="67"/>
      <c r="I44" s="67"/>
      <c r="J44" s="67"/>
      <c r="K44" s="67"/>
      <c r="L44" s="67"/>
      <c r="M44" s="62"/>
      <c r="N44" s="62"/>
    </row>
    <row r="45" spans="1:14" x14ac:dyDescent="0.3">
      <c r="A45" s="62"/>
      <c r="B45" s="62"/>
      <c r="C45" s="63"/>
      <c r="D45" s="64"/>
      <c r="E45" s="65"/>
      <c r="F45" s="65"/>
      <c r="G45" s="66"/>
      <c r="H45" s="67"/>
      <c r="I45" s="67"/>
      <c r="J45" s="67"/>
      <c r="K45" s="67"/>
      <c r="L45" s="67"/>
      <c r="M45" s="62"/>
      <c r="N45" s="62"/>
    </row>
    <row r="46" spans="1:14" x14ac:dyDescent="0.3">
      <c r="A46" s="62"/>
      <c r="B46" s="62"/>
      <c r="C46" s="63"/>
      <c r="D46" s="64"/>
      <c r="E46" s="65"/>
      <c r="F46" s="65"/>
      <c r="G46" s="66"/>
      <c r="H46" s="67"/>
      <c r="I46" s="67"/>
      <c r="J46" s="67"/>
      <c r="K46" s="67"/>
      <c r="L46" s="67"/>
      <c r="M46" s="62"/>
      <c r="N46" s="62"/>
    </row>
    <row r="47" spans="1:14" x14ac:dyDescent="0.3">
      <c r="A47" s="62"/>
      <c r="B47" s="62"/>
      <c r="C47" s="63"/>
      <c r="D47" s="64"/>
      <c r="E47" s="65"/>
      <c r="F47" s="65"/>
      <c r="G47" s="66"/>
      <c r="H47" s="67"/>
      <c r="I47" s="67"/>
      <c r="J47" s="67"/>
      <c r="K47" s="67"/>
      <c r="L47" s="67"/>
      <c r="M47" s="62"/>
      <c r="N47" s="62"/>
    </row>
    <row r="48" spans="1:14" x14ac:dyDescent="0.3">
      <c r="A48" s="62"/>
      <c r="B48" s="62"/>
      <c r="C48" s="63"/>
      <c r="D48" s="64"/>
      <c r="E48" s="65"/>
      <c r="F48" s="65"/>
      <c r="G48" s="66"/>
      <c r="H48" s="67"/>
      <c r="I48" s="67"/>
      <c r="J48" s="67"/>
      <c r="K48" s="67"/>
      <c r="L48" s="67"/>
      <c r="M48" s="62"/>
      <c r="N48" s="62"/>
    </row>
    <row r="49" spans="1:14" x14ac:dyDescent="0.3">
      <c r="A49" s="62"/>
      <c r="B49" s="62"/>
      <c r="C49" s="63"/>
      <c r="D49" s="64"/>
      <c r="E49" s="65"/>
      <c r="F49" s="65"/>
      <c r="G49" s="66"/>
      <c r="H49" s="67"/>
      <c r="I49" s="67"/>
      <c r="J49" s="67"/>
      <c r="K49" s="67"/>
      <c r="L49" s="67"/>
      <c r="M49" s="62"/>
      <c r="N49" s="62"/>
    </row>
    <row r="50" spans="1:14" x14ac:dyDescent="0.3">
      <c r="A50" s="62"/>
      <c r="B50" s="62"/>
      <c r="C50" s="63"/>
      <c r="D50" s="64"/>
      <c r="E50" s="65"/>
      <c r="F50" s="65"/>
      <c r="G50" s="66"/>
      <c r="H50" s="67"/>
      <c r="I50" s="67"/>
      <c r="J50" s="67"/>
      <c r="K50" s="67"/>
      <c r="L50" s="67"/>
      <c r="M50" s="62"/>
      <c r="N50" s="62"/>
    </row>
    <row r="51" spans="1:14" x14ac:dyDescent="0.3">
      <c r="A51" s="62"/>
      <c r="B51" s="62"/>
      <c r="C51" s="63"/>
      <c r="D51" s="64"/>
      <c r="E51" s="65"/>
      <c r="F51" s="65"/>
      <c r="G51" s="66"/>
      <c r="H51" s="67"/>
      <c r="I51" s="67"/>
      <c r="J51" s="67"/>
      <c r="K51" s="67"/>
      <c r="L51" s="67"/>
      <c r="M51" s="62"/>
      <c r="N51" s="62"/>
    </row>
    <row r="52" spans="1:14" x14ac:dyDescent="0.3">
      <c r="A52" s="62"/>
      <c r="B52" s="62"/>
      <c r="C52" s="63"/>
      <c r="D52" s="64"/>
      <c r="E52" s="65"/>
      <c r="F52" s="65"/>
      <c r="G52" s="66"/>
      <c r="H52" s="67"/>
      <c r="I52" s="67"/>
      <c r="J52" s="67"/>
      <c r="K52" s="67"/>
      <c r="L52" s="67"/>
      <c r="M52" s="62"/>
      <c r="N52" s="62"/>
    </row>
    <row r="53" spans="1:14" x14ac:dyDescent="0.3">
      <c r="A53" s="62"/>
      <c r="B53" s="62"/>
      <c r="C53" s="63"/>
      <c r="D53" s="64"/>
      <c r="E53" s="65"/>
      <c r="F53" s="65"/>
      <c r="G53" s="66"/>
      <c r="H53" s="67"/>
      <c r="I53" s="67"/>
      <c r="J53" s="67"/>
      <c r="K53" s="67"/>
      <c r="L53" s="67"/>
      <c r="M53" s="62"/>
      <c r="N53" s="62"/>
    </row>
    <row r="54" spans="1:14" x14ac:dyDescent="0.3">
      <c r="A54" s="62"/>
      <c r="B54" s="62"/>
      <c r="C54" s="63"/>
      <c r="D54" s="64"/>
      <c r="E54" s="65"/>
      <c r="F54" s="65"/>
      <c r="G54" s="66"/>
      <c r="H54" s="67"/>
      <c r="I54" s="67"/>
      <c r="J54" s="67"/>
      <c r="K54" s="67"/>
      <c r="L54" s="67"/>
      <c r="M54" s="62"/>
      <c r="N54" s="62"/>
    </row>
    <row r="55" spans="1:14" x14ac:dyDescent="0.3">
      <c r="A55" s="62"/>
      <c r="B55" s="62"/>
      <c r="C55" s="63"/>
      <c r="D55" s="64"/>
      <c r="E55" s="65"/>
      <c r="F55" s="65"/>
      <c r="G55" s="66"/>
      <c r="H55" s="67"/>
      <c r="I55" s="67"/>
      <c r="J55" s="67"/>
      <c r="K55" s="67"/>
      <c r="L55" s="67"/>
      <c r="M55" s="62"/>
      <c r="N55" s="62"/>
    </row>
    <row r="56" spans="1:14" x14ac:dyDescent="0.3">
      <c r="A56" s="62"/>
      <c r="B56" s="62"/>
      <c r="C56" s="63"/>
      <c r="D56" s="64"/>
      <c r="E56" s="65"/>
      <c r="F56" s="65"/>
      <c r="G56" s="66"/>
      <c r="H56" s="67"/>
      <c r="I56" s="67"/>
      <c r="J56" s="67"/>
      <c r="K56" s="67"/>
      <c r="L56" s="67"/>
      <c r="M56" s="62"/>
      <c r="N56" s="62"/>
    </row>
    <row r="57" spans="1:14" x14ac:dyDescent="0.3">
      <c r="A57" s="62"/>
      <c r="B57" s="62"/>
      <c r="C57" s="63"/>
      <c r="D57" s="64"/>
      <c r="E57" s="65"/>
      <c r="F57" s="65"/>
      <c r="G57" s="66"/>
      <c r="H57" s="67"/>
      <c r="I57" s="67"/>
      <c r="J57" s="67"/>
      <c r="K57" s="67"/>
      <c r="L57" s="67"/>
      <c r="M57" s="62"/>
      <c r="N57" s="62"/>
    </row>
    <row r="58" spans="1:14" x14ac:dyDescent="0.3">
      <c r="A58" s="62"/>
      <c r="B58" s="62"/>
      <c r="C58" s="63"/>
      <c r="D58" s="64"/>
      <c r="E58" s="65"/>
      <c r="F58" s="65"/>
      <c r="G58" s="66"/>
      <c r="H58" s="67"/>
      <c r="I58" s="67"/>
      <c r="J58" s="67"/>
      <c r="K58" s="67"/>
      <c r="L58" s="67"/>
      <c r="M58" s="62"/>
      <c r="N58" s="62"/>
    </row>
    <row r="59" spans="1:14" x14ac:dyDescent="0.3">
      <c r="A59" s="62"/>
      <c r="B59" s="62"/>
      <c r="C59" s="63"/>
      <c r="D59" s="64"/>
      <c r="E59" s="65"/>
      <c r="F59" s="65"/>
      <c r="G59" s="66"/>
      <c r="H59" s="67"/>
      <c r="I59" s="67"/>
      <c r="J59" s="67"/>
      <c r="K59" s="67"/>
      <c r="L59" s="67"/>
      <c r="M59" s="62"/>
      <c r="N59" s="62"/>
    </row>
    <row r="60" spans="1:14" x14ac:dyDescent="0.3">
      <c r="A60" s="62"/>
      <c r="B60" s="62"/>
      <c r="C60" s="63"/>
      <c r="D60" s="64"/>
      <c r="E60" s="65"/>
      <c r="F60" s="65"/>
      <c r="G60" s="66"/>
      <c r="H60" s="67"/>
      <c r="I60" s="67"/>
      <c r="J60" s="67"/>
      <c r="K60" s="67"/>
      <c r="L60" s="67"/>
      <c r="M60" s="62"/>
      <c r="N60" s="62"/>
    </row>
    <row r="61" spans="1:14" x14ac:dyDescent="0.3">
      <c r="A61" s="62"/>
      <c r="B61" s="62"/>
      <c r="C61" s="63"/>
      <c r="D61" s="64"/>
      <c r="E61" s="65"/>
      <c r="F61" s="65"/>
      <c r="G61" s="66"/>
      <c r="H61" s="67"/>
      <c r="I61" s="67"/>
      <c r="J61" s="67"/>
      <c r="K61" s="67"/>
      <c r="L61" s="67"/>
      <c r="M61" s="62"/>
      <c r="N61" s="62"/>
    </row>
    <row r="62" spans="1:14" x14ac:dyDescent="0.3">
      <c r="A62" s="62"/>
      <c r="B62" s="69"/>
      <c r="C62" s="63"/>
      <c r="D62" s="64"/>
      <c r="E62" s="65"/>
      <c r="F62" s="65"/>
      <c r="G62" s="66"/>
      <c r="H62" s="67"/>
      <c r="I62" s="67"/>
      <c r="J62" s="67"/>
      <c r="K62" s="67"/>
      <c r="L62" s="67"/>
      <c r="M62" s="62"/>
      <c r="N62" s="62"/>
    </row>
    <row r="63" spans="1:14" x14ac:dyDescent="0.3">
      <c r="A63" s="62"/>
      <c r="B63" s="62"/>
      <c r="C63" s="63"/>
      <c r="D63" s="64"/>
      <c r="E63" s="65"/>
      <c r="F63" s="65"/>
      <c r="G63" s="66"/>
      <c r="H63" s="67"/>
      <c r="I63" s="67"/>
      <c r="J63" s="67"/>
      <c r="K63" s="67"/>
      <c r="L63" s="67"/>
      <c r="M63" s="62"/>
      <c r="N63" s="62"/>
    </row>
    <row r="64" spans="1:14" x14ac:dyDescent="0.3">
      <c r="A64" s="62"/>
      <c r="B64" s="62"/>
      <c r="C64" s="63"/>
      <c r="D64" s="64"/>
      <c r="E64" s="65"/>
      <c r="F64" s="65"/>
      <c r="G64" s="66"/>
      <c r="H64" s="67"/>
      <c r="I64" s="67"/>
      <c r="J64" s="67"/>
      <c r="K64" s="67"/>
      <c r="L64" s="67"/>
      <c r="M64" s="62"/>
      <c r="N64" s="62"/>
    </row>
    <row r="65" spans="1:14" x14ac:dyDescent="0.3">
      <c r="A65" s="62"/>
      <c r="B65" s="62"/>
      <c r="C65" s="63"/>
      <c r="D65" s="64"/>
      <c r="E65" s="65"/>
      <c r="F65" s="65"/>
      <c r="G65" s="66"/>
      <c r="H65" s="67"/>
      <c r="I65" s="67"/>
      <c r="J65" s="67"/>
      <c r="K65" s="67"/>
      <c r="L65" s="67"/>
      <c r="M65" s="62"/>
      <c r="N65" s="62"/>
    </row>
    <row r="66" spans="1:14" x14ac:dyDescent="0.3">
      <c r="A66" s="62"/>
      <c r="B66" s="62"/>
      <c r="C66" s="63"/>
      <c r="D66" s="64"/>
      <c r="E66" s="65"/>
      <c r="F66" s="65"/>
      <c r="G66" s="66"/>
      <c r="H66" s="67"/>
      <c r="I66" s="67"/>
      <c r="J66" s="67"/>
      <c r="K66" s="67"/>
      <c r="L66" s="67"/>
      <c r="M66" s="62"/>
      <c r="N66" s="62"/>
    </row>
    <row r="67" spans="1:14" x14ac:dyDescent="0.3">
      <c r="A67" s="62"/>
      <c r="B67" s="62"/>
      <c r="C67" s="63"/>
      <c r="D67" s="64"/>
      <c r="E67" s="65"/>
      <c r="F67" s="65"/>
      <c r="G67" s="66"/>
      <c r="H67" s="67"/>
      <c r="I67" s="67"/>
      <c r="J67" s="67"/>
      <c r="K67" s="67"/>
      <c r="L67" s="67"/>
      <c r="M67" s="62"/>
      <c r="N67" s="62"/>
    </row>
    <row r="68" spans="1:14" x14ac:dyDescent="0.3">
      <c r="A68" s="62"/>
      <c r="B68" s="62"/>
      <c r="C68" s="63"/>
      <c r="D68" s="64"/>
      <c r="E68" s="65"/>
      <c r="F68" s="65"/>
      <c r="G68" s="66"/>
      <c r="H68" s="67"/>
      <c r="I68" s="67"/>
      <c r="J68" s="67"/>
      <c r="K68" s="67"/>
      <c r="L68" s="67"/>
      <c r="M68" s="62"/>
      <c r="N68" s="62"/>
    </row>
    <row r="69" spans="1:14" x14ac:dyDescent="0.3">
      <c r="A69" s="62"/>
      <c r="B69" s="62"/>
      <c r="C69" s="63"/>
      <c r="D69" s="64"/>
      <c r="E69" s="65"/>
      <c r="F69" s="65"/>
      <c r="G69" s="66"/>
      <c r="H69" s="67"/>
      <c r="I69" s="67"/>
      <c r="J69" s="67"/>
      <c r="K69" s="67"/>
      <c r="L69" s="67"/>
      <c r="M69" s="62"/>
      <c r="N69" s="62"/>
    </row>
    <row r="70" spans="1:14" x14ac:dyDescent="0.3">
      <c r="A70" s="62"/>
      <c r="B70" s="62"/>
      <c r="C70" s="63"/>
      <c r="D70" s="64"/>
      <c r="E70" s="65"/>
      <c r="F70" s="65"/>
      <c r="G70" s="66"/>
      <c r="H70" s="67"/>
      <c r="I70" s="67"/>
      <c r="J70" s="67"/>
      <c r="K70" s="67"/>
      <c r="L70" s="67"/>
      <c r="M70" s="62"/>
      <c r="N70" s="62"/>
    </row>
    <row r="71" spans="1:14" x14ac:dyDescent="0.3">
      <c r="A71" s="62"/>
      <c r="B71" s="62"/>
      <c r="C71" s="63"/>
      <c r="D71" s="64"/>
      <c r="E71" s="65"/>
      <c r="F71" s="65"/>
      <c r="G71" s="66"/>
      <c r="H71" s="67"/>
      <c r="I71" s="67"/>
      <c r="J71" s="67"/>
      <c r="K71" s="67"/>
      <c r="L71" s="67"/>
      <c r="M71" s="62"/>
      <c r="N71" s="62"/>
    </row>
    <row r="72" spans="1:14" x14ac:dyDescent="0.3">
      <c r="A72" s="62"/>
      <c r="B72" s="62"/>
      <c r="C72" s="63"/>
      <c r="D72" s="64"/>
      <c r="E72" s="65"/>
      <c r="F72" s="65"/>
      <c r="G72" s="66"/>
      <c r="H72" s="67"/>
      <c r="I72" s="67"/>
      <c r="J72" s="67"/>
      <c r="K72" s="67"/>
      <c r="L72" s="67"/>
      <c r="M72" s="62"/>
      <c r="N72" s="62"/>
    </row>
    <row r="73" spans="1:14" x14ac:dyDescent="0.3">
      <c r="A73" s="62"/>
      <c r="B73" s="62"/>
      <c r="C73" s="63"/>
      <c r="D73" s="64"/>
      <c r="E73" s="65"/>
      <c r="F73" s="65"/>
      <c r="G73" s="66"/>
      <c r="H73" s="67"/>
      <c r="I73" s="67"/>
      <c r="J73" s="67"/>
      <c r="K73" s="67"/>
      <c r="L73" s="67"/>
      <c r="M73" s="62"/>
      <c r="N73" s="62"/>
    </row>
    <row r="74" spans="1:14" x14ac:dyDescent="0.3">
      <c r="A74" s="62"/>
      <c r="B74" s="62"/>
      <c r="C74" s="63"/>
      <c r="D74" s="64"/>
      <c r="E74" s="65"/>
      <c r="F74" s="65"/>
      <c r="G74" s="66"/>
      <c r="H74" s="67"/>
      <c r="I74" s="67"/>
      <c r="J74" s="67"/>
      <c r="K74" s="67"/>
      <c r="L74" s="67"/>
      <c r="M74" s="62"/>
      <c r="N74" s="62"/>
    </row>
    <row r="75" spans="1:14" s="52" customFormat="1" x14ac:dyDescent="0.3">
      <c r="A75" s="62"/>
      <c r="B75" s="62"/>
      <c r="C75" s="63"/>
      <c r="D75" s="64"/>
      <c r="E75" s="65"/>
      <c r="F75" s="65"/>
      <c r="G75" s="66"/>
      <c r="H75" s="67"/>
      <c r="I75" s="67"/>
      <c r="J75" s="67"/>
      <c r="K75" s="67"/>
      <c r="L75" s="67"/>
      <c r="M75" s="62"/>
      <c r="N75" s="62"/>
    </row>
    <row r="76" spans="1:14" s="52" customFormat="1" x14ac:dyDescent="0.3">
      <c r="A76" s="62"/>
      <c r="B76" s="62"/>
      <c r="C76" s="63"/>
      <c r="D76" s="64"/>
      <c r="E76" s="65"/>
      <c r="F76" s="65"/>
      <c r="G76" s="66"/>
      <c r="H76" s="67"/>
      <c r="I76" s="67"/>
      <c r="J76" s="67"/>
      <c r="K76" s="67"/>
      <c r="L76" s="67"/>
      <c r="M76" s="62"/>
      <c r="N76" s="62"/>
    </row>
    <row r="77" spans="1:14" s="52" customFormat="1" x14ac:dyDescent="0.3">
      <c r="A77" s="62"/>
      <c r="B77" s="62"/>
      <c r="C77" s="63"/>
      <c r="D77" s="64"/>
      <c r="E77" s="65"/>
      <c r="F77" s="65"/>
      <c r="G77" s="66"/>
      <c r="H77" s="67"/>
      <c r="I77" s="67"/>
      <c r="J77" s="67"/>
      <c r="K77" s="67"/>
      <c r="L77" s="67"/>
      <c r="M77" s="62"/>
      <c r="N77" s="62"/>
    </row>
    <row r="78" spans="1:14" s="52" customFormat="1" x14ac:dyDescent="0.3">
      <c r="A78" s="62"/>
      <c r="B78" s="62"/>
      <c r="C78" s="63"/>
      <c r="D78" s="64"/>
      <c r="E78" s="65"/>
      <c r="F78" s="65"/>
      <c r="G78" s="66"/>
      <c r="H78" s="67"/>
      <c r="I78" s="67"/>
      <c r="J78" s="67"/>
      <c r="K78" s="67"/>
      <c r="L78" s="67"/>
      <c r="M78" s="62"/>
      <c r="N78" s="62"/>
    </row>
    <row r="79" spans="1:14" s="52" customFormat="1" x14ac:dyDescent="0.3">
      <c r="A79" s="62"/>
      <c r="B79" s="62"/>
      <c r="C79" s="63"/>
      <c r="D79" s="64"/>
      <c r="E79" s="65"/>
      <c r="F79" s="65"/>
      <c r="G79" s="66"/>
      <c r="H79" s="67"/>
      <c r="I79" s="67"/>
      <c r="J79" s="67"/>
      <c r="K79" s="67"/>
      <c r="L79" s="67"/>
      <c r="M79" s="62"/>
      <c r="N79" s="62"/>
    </row>
    <row r="80" spans="1:14" s="52" customFormat="1" x14ac:dyDescent="0.3">
      <c r="A80" s="62"/>
      <c r="B80" s="62"/>
      <c r="C80" s="63"/>
      <c r="D80" s="64"/>
      <c r="E80" s="65"/>
      <c r="F80" s="65"/>
      <c r="G80" s="66"/>
      <c r="H80" s="67"/>
      <c r="I80" s="67"/>
      <c r="J80" s="67"/>
      <c r="K80" s="67"/>
      <c r="L80" s="67"/>
      <c r="M80" s="62"/>
      <c r="N80" s="62"/>
    </row>
    <row r="81" spans="1:14" s="52" customFormat="1" x14ac:dyDescent="0.3">
      <c r="A81" s="62"/>
      <c r="B81" s="62"/>
      <c r="C81" s="63"/>
      <c r="D81" s="64"/>
      <c r="E81" s="65"/>
      <c r="F81" s="65"/>
      <c r="G81" s="66"/>
      <c r="H81" s="67"/>
      <c r="I81" s="67"/>
      <c r="J81" s="67"/>
      <c r="K81" s="67"/>
      <c r="L81" s="67"/>
      <c r="M81" s="62"/>
      <c r="N81" s="62"/>
    </row>
    <row r="82" spans="1:14" s="52" customFormat="1" x14ac:dyDescent="0.3">
      <c r="A82" s="62"/>
      <c r="B82" s="62"/>
      <c r="C82" s="63"/>
      <c r="D82" s="64"/>
      <c r="E82" s="65"/>
      <c r="F82" s="65"/>
      <c r="G82" s="66"/>
      <c r="H82" s="67"/>
      <c r="I82" s="67"/>
      <c r="J82" s="67"/>
      <c r="K82" s="67"/>
      <c r="L82" s="67"/>
      <c r="M82" s="62"/>
      <c r="N82" s="62"/>
    </row>
    <row r="83" spans="1:14" s="52" customFormat="1" x14ac:dyDescent="0.3">
      <c r="A83" s="62"/>
      <c r="B83" s="62"/>
      <c r="C83" s="63"/>
      <c r="D83" s="64"/>
      <c r="E83" s="65"/>
      <c r="F83" s="65"/>
      <c r="G83" s="66"/>
      <c r="H83" s="67"/>
      <c r="I83" s="67"/>
      <c r="J83" s="67"/>
      <c r="K83" s="67"/>
      <c r="L83" s="67"/>
      <c r="M83" s="62"/>
      <c r="N83" s="62"/>
    </row>
    <row r="84" spans="1:14" s="52" customFormat="1" x14ac:dyDescent="0.3">
      <c r="A84" s="62"/>
      <c r="B84" s="62"/>
      <c r="C84" s="63"/>
      <c r="D84" s="64"/>
      <c r="E84" s="65"/>
      <c r="F84" s="65"/>
      <c r="G84" s="66"/>
      <c r="H84" s="67"/>
      <c r="I84" s="67"/>
      <c r="J84" s="67"/>
      <c r="K84" s="67"/>
      <c r="L84" s="67"/>
      <c r="M84" s="62"/>
      <c r="N84" s="62"/>
    </row>
    <row r="85" spans="1:14" s="52" customFormat="1" x14ac:dyDescent="0.3">
      <c r="A85" s="62"/>
      <c r="B85" s="62"/>
      <c r="C85" s="63"/>
      <c r="D85" s="64"/>
      <c r="E85" s="65"/>
      <c r="F85" s="65"/>
      <c r="G85" s="66"/>
      <c r="H85" s="67"/>
      <c r="I85" s="67"/>
      <c r="J85" s="67"/>
      <c r="K85" s="67"/>
      <c r="L85" s="67"/>
      <c r="M85" s="62"/>
      <c r="N85" s="62"/>
    </row>
    <row r="86" spans="1:14" s="52" customFormat="1" x14ac:dyDescent="0.3">
      <c r="A86" s="62"/>
      <c r="B86" s="62"/>
      <c r="C86" s="63"/>
      <c r="D86" s="64"/>
      <c r="E86" s="65"/>
      <c r="F86" s="65"/>
      <c r="G86" s="66"/>
      <c r="H86" s="67"/>
      <c r="I86" s="67"/>
      <c r="J86" s="67"/>
      <c r="K86" s="67"/>
      <c r="L86" s="67"/>
      <c r="M86" s="62"/>
      <c r="N86" s="62"/>
    </row>
    <row r="87" spans="1:14" s="52" customFormat="1" x14ac:dyDescent="0.3">
      <c r="A87" s="62"/>
      <c r="B87" s="62"/>
      <c r="C87" s="63"/>
      <c r="D87" s="64"/>
      <c r="E87" s="65"/>
      <c r="F87" s="65"/>
      <c r="G87" s="66"/>
      <c r="H87" s="67"/>
      <c r="I87" s="67"/>
      <c r="J87" s="67"/>
      <c r="K87" s="67"/>
      <c r="L87" s="67"/>
      <c r="M87" s="62"/>
      <c r="N87" s="62"/>
    </row>
    <row r="88" spans="1:14" s="52" customFormat="1" x14ac:dyDescent="0.3">
      <c r="A88" s="62"/>
      <c r="B88" s="62"/>
      <c r="C88" s="63"/>
      <c r="D88" s="64"/>
      <c r="E88" s="65"/>
      <c r="F88" s="65"/>
      <c r="G88" s="66"/>
      <c r="H88" s="67"/>
      <c r="I88" s="67"/>
      <c r="J88" s="67"/>
      <c r="K88" s="67"/>
      <c r="L88" s="67"/>
      <c r="M88" s="62"/>
      <c r="N88" s="62"/>
    </row>
    <row r="89" spans="1:14" s="52" customFormat="1" x14ac:dyDescent="0.3">
      <c r="A89" s="62"/>
      <c r="B89" s="62"/>
      <c r="C89" s="63"/>
      <c r="D89" s="64"/>
      <c r="E89" s="65"/>
      <c r="F89" s="65"/>
      <c r="G89" s="66"/>
      <c r="H89" s="67"/>
      <c r="I89" s="67"/>
      <c r="J89" s="67"/>
      <c r="K89" s="67"/>
      <c r="L89" s="67"/>
      <c r="M89" s="62"/>
      <c r="N89" s="62"/>
    </row>
    <row r="90" spans="1:14" s="52" customFormat="1" x14ac:dyDescent="0.3">
      <c r="A90" s="62"/>
      <c r="B90" s="62"/>
      <c r="C90" s="63"/>
      <c r="D90" s="64"/>
      <c r="E90" s="65"/>
      <c r="F90" s="65"/>
      <c r="G90" s="66"/>
      <c r="H90" s="67"/>
      <c r="I90" s="67"/>
      <c r="J90" s="67"/>
      <c r="K90" s="67"/>
      <c r="L90" s="67"/>
      <c r="M90" s="62"/>
      <c r="N90" s="62"/>
    </row>
    <row r="91" spans="1:14" s="52" customFormat="1" x14ac:dyDescent="0.3">
      <c r="A91" s="62"/>
      <c r="B91" s="62"/>
      <c r="C91" s="63"/>
      <c r="D91" s="64"/>
      <c r="E91" s="65"/>
      <c r="F91" s="65"/>
      <c r="G91" s="66"/>
      <c r="H91" s="67"/>
      <c r="I91" s="67"/>
      <c r="J91" s="67"/>
      <c r="K91" s="67"/>
      <c r="L91" s="67"/>
      <c r="M91" s="62"/>
      <c r="N91" s="62"/>
    </row>
    <row r="92" spans="1:14" x14ac:dyDescent="0.3">
      <c r="A92" s="62"/>
      <c r="B92" s="62"/>
      <c r="C92" s="63"/>
      <c r="D92" s="64"/>
      <c r="E92" s="65"/>
      <c r="F92" s="65"/>
      <c r="G92" s="66"/>
      <c r="H92" s="67"/>
      <c r="I92" s="67"/>
      <c r="J92" s="67"/>
      <c r="K92" s="67"/>
      <c r="L92" s="67"/>
      <c r="M92" s="62"/>
      <c r="N92" s="62"/>
    </row>
    <row r="93" spans="1:14" x14ac:dyDescent="0.3">
      <c r="A93" s="62"/>
      <c r="B93" s="62"/>
      <c r="C93" s="63"/>
      <c r="D93" s="64"/>
      <c r="E93" s="65"/>
      <c r="F93" s="65"/>
      <c r="G93" s="66"/>
      <c r="H93" s="67"/>
      <c r="I93" s="67"/>
      <c r="J93" s="67"/>
      <c r="K93" s="67"/>
      <c r="L93" s="67"/>
      <c r="M93" s="62"/>
      <c r="N93" s="62"/>
    </row>
    <row r="94" spans="1:14" x14ac:dyDescent="0.3">
      <c r="A94" s="62"/>
      <c r="B94" s="62"/>
      <c r="C94" s="63"/>
      <c r="D94" s="64"/>
      <c r="E94" s="65"/>
      <c r="F94" s="65"/>
      <c r="G94" s="66"/>
      <c r="H94" s="67"/>
      <c r="I94" s="67"/>
      <c r="J94" s="67"/>
      <c r="K94" s="67"/>
      <c r="L94" s="67"/>
      <c r="M94" s="62"/>
      <c r="N94" s="62"/>
    </row>
    <row r="95" spans="1:14" x14ac:dyDescent="0.3">
      <c r="A95" s="62"/>
      <c r="B95" s="62"/>
      <c r="C95" s="63"/>
      <c r="D95" s="64"/>
      <c r="E95" s="65"/>
      <c r="F95" s="65"/>
      <c r="G95" s="66"/>
      <c r="H95" s="67"/>
      <c r="I95" s="67"/>
      <c r="J95" s="67"/>
      <c r="K95" s="67"/>
      <c r="L95" s="67"/>
      <c r="M95" s="62"/>
      <c r="N95" s="62"/>
    </row>
    <row r="96" spans="1:14" x14ac:dyDescent="0.3">
      <c r="A96" s="62"/>
      <c r="B96" s="62"/>
      <c r="C96" s="63"/>
      <c r="D96" s="64"/>
      <c r="E96" s="65"/>
      <c r="F96" s="65"/>
      <c r="G96" s="66"/>
      <c r="H96" s="67"/>
      <c r="I96" s="67"/>
      <c r="J96" s="67"/>
      <c r="K96" s="67"/>
      <c r="L96" s="67"/>
      <c r="M96" s="62"/>
      <c r="N96" s="62"/>
    </row>
    <row r="97" spans="1:14" x14ac:dyDescent="0.3">
      <c r="A97" s="62"/>
      <c r="B97" s="62"/>
      <c r="C97" s="63"/>
      <c r="D97" s="64"/>
      <c r="E97" s="65"/>
      <c r="F97" s="65"/>
      <c r="G97" s="66"/>
      <c r="H97" s="67"/>
      <c r="I97" s="67"/>
      <c r="J97" s="67"/>
      <c r="K97" s="67"/>
      <c r="L97" s="67"/>
      <c r="M97" s="62"/>
      <c r="N97" s="62"/>
    </row>
    <row r="98" spans="1:14" x14ac:dyDescent="0.3">
      <c r="A98" s="62"/>
      <c r="B98" s="62"/>
      <c r="C98" s="63"/>
      <c r="D98" s="64"/>
      <c r="E98" s="65"/>
      <c r="F98" s="65"/>
      <c r="G98" s="66"/>
      <c r="H98" s="67"/>
      <c r="I98" s="67"/>
      <c r="J98" s="67"/>
      <c r="K98" s="67"/>
      <c r="L98" s="67"/>
      <c r="M98" s="62"/>
      <c r="N98" s="62"/>
    </row>
    <row r="99" spans="1:14" x14ac:dyDescent="0.3">
      <c r="A99" s="62"/>
      <c r="B99" s="62"/>
      <c r="C99" s="63"/>
      <c r="D99" s="64"/>
      <c r="E99" s="65"/>
      <c r="F99" s="65"/>
      <c r="G99" s="66"/>
      <c r="H99" s="67"/>
      <c r="I99" s="67"/>
      <c r="J99" s="67"/>
      <c r="K99" s="67"/>
      <c r="L99" s="67"/>
      <c r="M99" s="62"/>
      <c r="N99" s="62"/>
    </row>
    <row r="100" spans="1:14" x14ac:dyDescent="0.3">
      <c r="A100" s="62"/>
      <c r="B100" s="62"/>
      <c r="C100" s="63"/>
      <c r="D100" s="64"/>
      <c r="E100" s="65"/>
      <c r="F100" s="65"/>
      <c r="G100" s="66"/>
      <c r="H100" s="67"/>
      <c r="I100" s="67"/>
      <c r="J100" s="67"/>
      <c r="K100" s="67"/>
      <c r="L100" s="67"/>
      <c r="M100" s="62"/>
      <c r="N100" s="62"/>
    </row>
    <row r="101" spans="1:14" x14ac:dyDescent="0.3">
      <c r="A101" s="62"/>
      <c r="B101" s="62"/>
      <c r="C101" s="63"/>
      <c r="D101" s="64"/>
      <c r="E101" s="65"/>
      <c r="F101" s="65"/>
      <c r="G101" s="66"/>
      <c r="H101" s="67"/>
      <c r="I101" s="67"/>
      <c r="J101" s="67"/>
      <c r="K101" s="67"/>
      <c r="L101" s="67"/>
      <c r="M101" s="62"/>
      <c r="N101" s="62"/>
    </row>
    <row r="102" spans="1:14" x14ac:dyDescent="0.3">
      <c r="A102" s="62"/>
      <c r="B102" s="62"/>
      <c r="C102" s="63"/>
      <c r="D102" s="64"/>
      <c r="E102" s="65"/>
      <c r="F102" s="65"/>
      <c r="G102" s="66"/>
      <c r="H102" s="67"/>
      <c r="I102" s="67"/>
      <c r="J102" s="67"/>
      <c r="K102" s="67"/>
      <c r="L102" s="67"/>
      <c r="M102" s="62"/>
      <c r="N102" s="62"/>
    </row>
    <row r="103" spans="1:14" x14ac:dyDescent="0.3">
      <c r="A103" s="62"/>
      <c r="B103" s="62"/>
      <c r="C103" s="63"/>
      <c r="D103" s="64"/>
      <c r="E103" s="65"/>
      <c r="F103" s="65"/>
      <c r="G103" s="66"/>
      <c r="H103" s="67"/>
      <c r="I103" s="67"/>
      <c r="J103" s="67"/>
      <c r="K103" s="67"/>
      <c r="L103" s="67"/>
      <c r="M103" s="62"/>
      <c r="N103" s="62"/>
    </row>
    <row r="104" spans="1:14" x14ac:dyDescent="0.3">
      <c r="A104" s="62"/>
      <c r="B104" s="62"/>
      <c r="C104" s="63"/>
      <c r="D104" s="64"/>
      <c r="E104" s="65"/>
      <c r="F104" s="65"/>
      <c r="G104" s="66"/>
      <c r="H104" s="67"/>
      <c r="I104" s="67"/>
      <c r="J104" s="67"/>
      <c r="K104" s="67"/>
      <c r="L104" s="67"/>
      <c r="M104" s="62"/>
      <c r="N104" s="62"/>
    </row>
    <row r="105" spans="1:14" x14ac:dyDescent="0.3">
      <c r="A105" s="62"/>
      <c r="B105" s="62"/>
      <c r="C105" s="63"/>
      <c r="D105" s="64"/>
      <c r="E105" s="65"/>
      <c r="F105" s="65"/>
      <c r="G105" s="66"/>
      <c r="H105" s="67"/>
      <c r="I105" s="67"/>
      <c r="J105" s="67"/>
      <c r="K105" s="67"/>
      <c r="L105" s="67"/>
      <c r="M105" s="62"/>
      <c r="N105" s="62"/>
    </row>
    <row r="106" spans="1:14" x14ac:dyDescent="0.3">
      <c r="A106" s="62"/>
      <c r="B106" s="62"/>
      <c r="C106" s="63"/>
      <c r="D106" s="64"/>
      <c r="E106" s="68"/>
      <c r="F106" s="65"/>
      <c r="G106" s="66"/>
      <c r="H106" s="67"/>
      <c r="I106" s="67"/>
      <c r="J106" s="67"/>
      <c r="K106" s="67"/>
      <c r="L106" s="67"/>
      <c r="M106" s="62"/>
      <c r="N106" s="62"/>
    </row>
    <row r="107" spans="1:14" x14ac:dyDescent="0.3">
      <c r="A107" s="62"/>
      <c r="B107" s="62"/>
      <c r="C107" s="63"/>
      <c r="D107" s="64"/>
      <c r="E107" s="65"/>
      <c r="F107" s="65"/>
      <c r="G107" s="66"/>
      <c r="H107" s="67"/>
      <c r="I107" s="67"/>
      <c r="J107" s="67"/>
      <c r="K107" s="67"/>
      <c r="L107" s="67"/>
      <c r="M107" s="62"/>
      <c r="N107" s="62"/>
    </row>
    <row r="108" spans="1:14" x14ac:dyDescent="0.3">
      <c r="A108" s="62"/>
      <c r="B108" s="62"/>
      <c r="C108" s="63"/>
      <c r="D108" s="64"/>
      <c r="E108" s="65"/>
      <c r="F108" s="65"/>
      <c r="G108" s="66"/>
      <c r="H108" s="67"/>
      <c r="I108" s="67"/>
      <c r="J108" s="67"/>
      <c r="K108" s="67"/>
      <c r="L108" s="67"/>
      <c r="M108" s="62"/>
      <c r="N108" s="62"/>
    </row>
    <row r="109" spans="1:14" x14ac:dyDescent="0.3">
      <c r="A109" s="62"/>
      <c r="B109" s="62"/>
      <c r="C109" s="63"/>
      <c r="D109" s="64"/>
      <c r="E109" s="65"/>
      <c r="F109" s="65"/>
      <c r="G109" s="66"/>
      <c r="H109" s="67"/>
      <c r="I109" s="67"/>
      <c r="J109" s="67"/>
      <c r="K109" s="67"/>
      <c r="L109" s="67"/>
      <c r="M109" s="62"/>
      <c r="N109" s="62"/>
    </row>
    <row r="110" spans="1:14" x14ac:dyDescent="0.3">
      <c r="A110" s="62"/>
      <c r="B110" s="62"/>
      <c r="C110" s="63"/>
      <c r="D110" s="64"/>
      <c r="E110" s="65"/>
      <c r="F110" s="65"/>
      <c r="G110" s="66"/>
      <c r="H110" s="67"/>
      <c r="I110" s="67"/>
      <c r="J110" s="67"/>
      <c r="K110" s="67"/>
      <c r="L110" s="67"/>
      <c r="M110" s="62"/>
      <c r="N110" s="62"/>
    </row>
    <row r="111" spans="1:14" x14ac:dyDescent="0.3">
      <c r="A111" s="62"/>
      <c r="B111" s="62"/>
      <c r="C111" s="63"/>
      <c r="D111" s="64"/>
      <c r="E111" s="65"/>
      <c r="F111" s="65"/>
      <c r="G111" s="66"/>
      <c r="H111" s="67"/>
      <c r="I111" s="67"/>
      <c r="J111" s="67"/>
      <c r="K111" s="67"/>
      <c r="L111" s="67"/>
      <c r="M111" s="62"/>
      <c r="N111" s="62"/>
    </row>
    <row r="112" spans="1:14" x14ac:dyDescent="0.3">
      <c r="A112" s="62"/>
      <c r="B112" s="62"/>
      <c r="C112" s="63"/>
      <c r="D112" s="64"/>
      <c r="E112" s="65"/>
      <c r="F112" s="65"/>
      <c r="G112" s="66"/>
      <c r="H112" s="67"/>
      <c r="I112" s="67"/>
      <c r="J112" s="67"/>
      <c r="K112" s="67"/>
      <c r="L112" s="67"/>
      <c r="M112" s="62"/>
      <c r="N112" s="62"/>
    </row>
    <row r="113" spans="1:14" x14ac:dyDescent="0.3">
      <c r="A113" s="62"/>
      <c r="B113" s="62"/>
      <c r="C113" s="63"/>
      <c r="D113" s="64"/>
      <c r="E113" s="65"/>
      <c r="F113" s="65"/>
      <c r="G113" s="66"/>
      <c r="H113" s="67"/>
      <c r="I113" s="67"/>
      <c r="J113" s="67"/>
      <c r="K113" s="67"/>
      <c r="L113" s="67"/>
      <c r="M113" s="62"/>
      <c r="N113" s="62"/>
    </row>
    <row r="114" spans="1:14" x14ac:dyDescent="0.3">
      <c r="A114" s="62"/>
      <c r="B114" s="62"/>
      <c r="C114" s="63"/>
      <c r="D114" s="64"/>
      <c r="E114" s="65"/>
      <c r="F114" s="65"/>
      <c r="G114" s="66"/>
      <c r="H114" s="67"/>
      <c r="I114" s="67"/>
      <c r="J114" s="67"/>
      <c r="K114" s="67"/>
      <c r="L114" s="67"/>
      <c r="M114" s="62"/>
      <c r="N114" s="62"/>
    </row>
    <row r="115" spans="1:14" x14ac:dyDescent="0.3">
      <c r="A115" s="62"/>
      <c r="B115" s="62"/>
      <c r="C115" s="63"/>
      <c r="D115" s="64"/>
      <c r="E115" s="65"/>
      <c r="F115" s="65"/>
      <c r="G115" s="66"/>
      <c r="H115" s="67"/>
      <c r="I115" s="67"/>
      <c r="J115" s="67"/>
      <c r="K115" s="67"/>
      <c r="L115" s="67"/>
      <c r="M115" s="62"/>
      <c r="N115" s="62"/>
    </row>
    <row r="116" spans="1:14" x14ac:dyDescent="0.3">
      <c r="A116" s="62"/>
      <c r="B116" s="62"/>
      <c r="C116" s="63"/>
      <c r="D116" s="64"/>
      <c r="E116" s="65"/>
      <c r="F116" s="65"/>
      <c r="G116" s="66"/>
      <c r="H116" s="67"/>
      <c r="I116" s="67"/>
      <c r="J116" s="67"/>
      <c r="K116" s="67"/>
      <c r="L116" s="67"/>
      <c r="M116" s="62"/>
      <c r="N116" s="62"/>
    </row>
    <row r="117" spans="1:14" x14ac:dyDescent="0.3">
      <c r="A117" s="62"/>
      <c r="B117" s="62"/>
      <c r="C117" s="63"/>
      <c r="D117" s="64"/>
      <c r="E117" s="65"/>
      <c r="F117" s="65"/>
      <c r="G117" s="66"/>
      <c r="H117" s="67"/>
      <c r="I117" s="67"/>
      <c r="J117" s="67"/>
      <c r="K117" s="67"/>
      <c r="L117" s="67"/>
      <c r="M117" s="62"/>
      <c r="N117" s="62"/>
    </row>
    <row r="118" spans="1:14" x14ac:dyDescent="0.3">
      <c r="A118" s="62"/>
      <c r="B118" s="62"/>
      <c r="C118" s="63"/>
      <c r="D118" s="64"/>
      <c r="E118" s="65"/>
      <c r="F118" s="65"/>
      <c r="G118" s="66"/>
      <c r="H118" s="67"/>
      <c r="I118" s="67"/>
      <c r="J118" s="67"/>
      <c r="K118" s="67"/>
      <c r="L118" s="67"/>
      <c r="M118" s="62"/>
      <c r="N118" s="62"/>
    </row>
    <row r="119" spans="1:14" x14ac:dyDescent="0.3">
      <c r="A119" s="62"/>
      <c r="B119" s="62"/>
      <c r="C119" s="63"/>
      <c r="D119" s="64"/>
      <c r="E119" s="65"/>
      <c r="F119" s="65"/>
      <c r="G119" s="66"/>
      <c r="H119" s="67"/>
      <c r="I119" s="67"/>
      <c r="J119" s="67"/>
      <c r="K119" s="67"/>
      <c r="L119" s="67"/>
      <c r="M119" s="62"/>
      <c r="N119" s="62"/>
    </row>
    <row r="120" spans="1:14" x14ac:dyDescent="0.3">
      <c r="A120" s="62"/>
      <c r="B120" s="62"/>
      <c r="C120" s="63"/>
      <c r="D120" s="64"/>
      <c r="E120" s="65"/>
      <c r="F120" s="65"/>
      <c r="G120" s="66"/>
      <c r="H120" s="67"/>
      <c r="I120" s="67"/>
      <c r="J120" s="67"/>
      <c r="K120" s="67"/>
      <c r="L120" s="67"/>
      <c r="M120" s="62"/>
      <c r="N120" s="62"/>
    </row>
    <row r="121" spans="1:14" x14ac:dyDescent="0.3">
      <c r="A121" s="62"/>
      <c r="B121" s="62"/>
      <c r="C121" s="63"/>
      <c r="D121" s="64"/>
      <c r="E121" s="65"/>
      <c r="F121" s="65"/>
      <c r="G121" s="66"/>
      <c r="H121" s="67"/>
      <c r="I121" s="67"/>
      <c r="J121" s="67"/>
      <c r="K121" s="67"/>
      <c r="L121" s="67"/>
      <c r="M121" s="62"/>
      <c r="N121" s="62"/>
    </row>
    <row r="122" spans="1:14" x14ac:dyDescent="0.3">
      <c r="A122" s="62"/>
      <c r="B122" s="62"/>
      <c r="C122" s="63"/>
      <c r="D122" s="64"/>
      <c r="E122" s="65"/>
      <c r="F122" s="65"/>
      <c r="G122" s="66"/>
      <c r="H122" s="67"/>
      <c r="I122" s="67"/>
      <c r="J122" s="67"/>
      <c r="K122" s="67"/>
      <c r="L122" s="67"/>
      <c r="M122" s="62"/>
      <c r="N122" s="62"/>
    </row>
    <row r="123" spans="1:14" x14ac:dyDescent="0.3">
      <c r="A123" s="62"/>
      <c r="B123" s="62"/>
      <c r="C123" s="63"/>
      <c r="D123" s="64"/>
      <c r="E123" s="65"/>
      <c r="F123" s="65"/>
      <c r="G123" s="66"/>
      <c r="H123" s="67"/>
      <c r="I123" s="67"/>
      <c r="J123" s="67"/>
      <c r="K123" s="67"/>
      <c r="L123" s="67"/>
      <c r="M123" s="62"/>
      <c r="N123" s="62"/>
    </row>
    <row r="124" spans="1:14" x14ac:dyDescent="0.3">
      <c r="A124" s="62"/>
      <c r="B124" s="62"/>
      <c r="C124" s="63"/>
      <c r="D124" s="64"/>
      <c r="E124" s="65"/>
      <c r="F124" s="65"/>
      <c r="G124" s="66"/>
      <c r="H124" s="67"/>
      <c r="I124" s="67"/>
      <c r="J124" s="67"/>
      <c r="K124" s="67"/>
      <c r="L124" s="67"/>
      <c r="M124" s="62"/>
      <c r="N124" s="62"/>
    </row>
    <row r="125" spans="1:14" x14ac:dyDescent="0.3">
      <c r="A125" s="62"/>
      <c r="B125" s="62"/>
      <c r="C125" s="63"/>
      <c r="D125" s="64"/>
      <c r="E125" s="65"/>
      <c r="F125" s="65"/>
      <c r="G125" s="66"/>
      <c r="H125" s="67"/>
      <c r="I125" s="67"/>
      <c r="J125" s="67"/>
      <c r="K125" s="67"/>
      <c r="L125" s="67"/>
      <c r="M125" s="62"/>
      <c r="N125" s="62"/>
    </row>
    <row r="126" spans="1:14" x14ac:dyDescent="0.3">
      <c r="A126" s="62"/>
      <c r="B126" s="62"/>
      <c r="C126" s="63"/>
      <c r="D126" s="64"/>
      <c r="E126" s="65"/>
      <c r="F126" s="65"/>
      <c r="G126" s="66"/>
      <c r="H126" s="67"/>
      <c r="I126" s="67"/>
      <c r="J126" s="67"/>
      <c r="K126" s="67"/>
      <c r="L126" s="67"/>
      <c r="M126" s="62"/>
      <c r="N126" s="62"/>
    </row>
    <row r="127" spans="1:14" x14ac:dyDescent="0.3">
      <c r="A127" s="62"/>
      <c r="B127" s="62"/>
      <c r="C127" s="63"/>
      <c r="D127" s="64"/>
      <c r="E127" s="65"/>
      <c r="F127" s="65"/>
      <c r="G127" s="66"/>
      <c r="H127" s="67"/>
      <c r="I127" s="67"/>
      <c r="J127" s="67"/>
      <c r="K127" s="67"/>
      <c r="L127" s="67"/>
      <c r="M127" s="62"/>
      <c r="N127" s="62"/>
    </row>
    <row r="128" spans="1:14" x14ac:dyDescent="0.3">
      <c r="A128" s="62"/>
      <c r="B128" s="62"/>
      <c r="C128" s="63"/>
      <c r="D128" s="64"/>
      <c r="E128" s="65"/>
      <c r="F128" s="65"/>
      <c r="G128" s="66"/>
      <c r="H128" s="67"/>
      <c r="I128" s="67"/>
      <c r="J128" s="67"/>
      <c r="K128" s="67"/>
      <c r="L128" s="67"/>
      <c r="M128" s="62"/>
      <c r="N128" s="62"/>
    </row>
    <row r="129" spans="1:14" x14ac:dyDescent="0.3">
      <c r="A129" s="62"/>
      <c r="B129" s="62"/>
      <c r="C129" s="63"/>
      <c r="D129" s="64"/>
      <c r="E129" s="65"/>
      <c r="F129" s="65"/>
      <c r="G129" s="66"/>
      <c r="H129" s="67"/>
      <c r="I129" s="67"/>
      <c r="J129" s="67"/>
      <c r="K129" s="67"/>
      <c r="L129" s="67"/>
      <c r="M129" s="62"/>
      <c r="N129" s="62"/>
    </row>
    <row r="130" spans="1:14" x14ac:dyDescent="0.3">
      <c r="A130" s="62"/>
      <c r="B130" s="62"/>
      <c r="C130" s="63"/>
      <c r="D130" s="64"/>
      <c r="E130" s="65"/>
      <c r="F130" s="65"/>
      <c r="G130" s="66"/>
      <c r="H130" s="67"/>
      <c r="I130" s="67"/>
      <c r="J130" s="67"/>
      <c r="K130" s="67"/>
      <c r="L130" s="67"/>
      <c r="M130" s="62"/>
      <c r="N130" s="62"/>
    </row>
    <row r="131" spans="1:14" x14ac:dyDescent="0.3">
      <c r="A131" s="62"/>
      <c r="B131" s="62"/>
      <c r="C131" s="63"/>
      <c r="D131" s="64"/>
      <c r="E131" s="65"/>
      <c r="F131" s="65"/>
      <c r="G131" s="66"/>
      <c r="H131" s="67"/>
      <c r="I131" s="67"/>
      <c r="J131" s="67"/>
      <c r="K131" s="67"/>
      <c r="L131" s="67"/>
      <c r="M131" s="62"/>
      <c r="N131" s="62"/>
    </row>
    <row r="132" spans="1:14" x14ac:dyDescent="0.3">
      <c r="A132" s="62"/>
      <c r="B132" s="62"/>
      <c r="C132" s="63"/>
      <c r="D132" s="64"/>
      <c r="E132" s="65"/>
      <c r="F132" s="65"/>
      <c r="G132" s="66"/>
      <c r="H132" s="67"/>
      <c r="I132" s="67"/>
      <c r="J132" s="67"/>
      <c r="K132" s="67"/>
      <c r="L132" s="67"/>
      <c r="M132" s="62"/>
      <c r="N132" s="62"/>
    </row>
    <row r="133" spans="1:14" x14ac:dyDescent="0.3">
      <c r="A133" s="62"/>
      <c r="B133" s="62"/>
      <c r="C133" s="63"/>
      <c r="D133" s="64"/>
      <c r="E133" s="65"/>
      <c r="F133" s="65"/>
      <c r="G133" s="66"/>
      <c r="H133" s="67"/>
      <c r="I133" s="67"/>
      <c r="J133" s="67"/>
      <c r="K133" s="67"/>
      <c r="L133" s="67"/>
      <c r="M133" s="62"/>
      <c r="N133" s="62"/>
    </row>
    <row r="134" spans="1:14" x14ac:dyDescent="0.3">
      <c r="A134" s="62"/>
      <c r="B134" s="62"/>
      <c r="C134" s="63"/>
      <c r="D134" s="64"/>
      <c r="E134" s="65"/>
      <c r="F134" s="65"/>
      <c r="G134" s="66"/>
      <c r="H134" s="67"/>
      <c r="I134" s="67"/>
      <c r="J134" s="67"/>
      <c r="K134" s="67"/>
      <c r="L134" s="67"/>
      <c r="M134" s="62"/>
      <c r="N134" s="62"/>
    </row>
    <row r="135" spans="1:14" x14ac:dyDescent="0.3">
      <c r="A135" s="62"/>
      <c r="B135" s="62"/>
      <c r="C135" s="63"/>
      <c r="D135" s="64"/>
      <c r="E135" s="65"/>
      <c r="F135" s="65"/>
      <c r="G135" s="66"/>
      <c r="H135" s="67"/>
      <c r="I135" s="67"/>
      <c r="J135" s="67"/>
      <c r="K135" s="67"/>
      <c r="L135" s="67"/>
      <c r="M135" s="62"/>
      <c r="N135" s="62"/>
    </row>
    <row r="136" spans="1:14" x14ac:dyDescent="0.3">
      <c r="A136" s="62"/>
      <c r="B136" s="62"/>
      <c r="C136" s="63"/>
      <c r="D136" s="64"/>
      <c r="E136" s="65"/>
      <c r="F136" s="65"/>
      <c r="G136" s="66"/>
      <c r="H136" s="67"/>
      <c r="I136" s="67"/>
      <c r="J136" s="67"/>
      <c r="K136" s="67"/>
      <c r="L136" s="67"/>
      <c r="M136" s="62"/>
      <c r="N136" s="62"/>
    </row>
    <row r="137" spans="1:14" x14ac:dyDescent="0.3">
      <c r="A137" s="62"/>
      <c r="B137" s="62"/>
      <c r="C137" s="63"/>
      <c r="D137" s="64"/>
      <c r="E137" s="65"/>
      <c r="F137" s="65"/>
      <c r="G137" s="66"/>
      <c r="H137" s="67"/>
      <c r="I137" s="67"/>
      <c r="J137" s="67"/>
      <c r="K137" s="67"/>
      <c r="L137" s="67"/>
      <c r="M137" s="62"/>
      <c r="N137" s="62"/>
    </row>
    <row r="138" spans="1:14" x14ac:dyDescent="0.3">
      <c r="A138" s="62"/>
      <c r="B138" s="62"/>
      <c r="C138" s="63"/>
      <c r="D138" s="64"/>
      <c r="E138" s="65"/>
      <c r="F138" s="65"/>
      <c r="G138" s="66"/>
      <c r="H138" s="67"/>
      <c r="I138" s="67"/>
      <c r="J138" s="67"/>
      <c r="K138" s="67"/>
      <c r="L138" s="67"/>
      <c r="M138" s="62"/>
      <c r="N138" s="62"/>
    </row>
    <row r="139" spans="1:14" x14ac:dyDescent="0.3">
      <c r="A139" s="62"/>
      <c r="B139" s="62"/>
      <c r="C139" s="63"/>
      <c r="D139" s="64"/>
      <c r="E139" s="65"/>
      <c r="F139" s="65"/>
      <c r="G139" s="66"/>
      <c r="H139" s="67"/>
      <c r="I139" s="67"/>
      <c r="J139" s="67"/>
      <c r="K139" s="67"/>
      <c r="L139" s="67"/>
      <c r="M139" s="62"/>
      <c r="N139" s="62"/>
    </row>
    <row r="140" spans="1:14" x14ac:dyDescent="0.3">
      <c r="A140" s="62"/>
      <c r="B140" s="62"/>
      <c r="C140" s="63"/>
      <c r="D140" s="64"/>
      <c r="E140" s="65"/>
      <c r="F140" s="65"/>
      <c r="G140" s="66"/>
      <c r="H140" s="67"/>
      <c r="I140" s="67"/>
      <c r="J140" s="67"/>
      <c r="K140" s="67"/>
      <c r="L140" s="67"/>
      <c r="M140" s="62"/>
      <c r="N140" s="62"/>
    </row>
    <row r="141" spans="1:14" x14ac:dyDescent="0.3">
      <c r="A141" s="62"/>
      <c r="B141" s="62"/>
      <c r="C141" s="63"/>
      <c r="D141" s="64"/>
      <c r="E141" s="65"/>
      <c r="F141" s="65"/>
      <c r="G141" s="66"/>
      <c r="H141" s="67"/>
      <c r="I141" s="67"/>
      <c r="J141" s="67"/>
      <c r="K141" s="67"/>
      <c r="L141" s="67"/>
      <c r="M141" s="62"/>
      <c r="N141" s="62"/>
    </row>
    <row r="142" spans="1:14" x14ac:dyDescent="0.3">
      <c r="A142" s="62"/>
      <c r="B142" s="62"/>
      <c r="C142" s="63"/>
      <c r="D142" s="64"/>
      <c r="E142" s="65"/>
      <c r="F142" s="65"/>
      <c r="G142" s="66"/>
      <c r="H142" s="67"/>
      <c r="I142" s="67"/>
      <c r="J142" s="67"/>
      <c r="K142" s="67"/>
      <c r="L142" s="67"/>
      <c r="M142" s="62"/>
      <c r="N142" s="62"/>
    </row>
    <row r="143" spans="1:14" x14ac:dyDescent="0.3">
      <c r="A143" s="62"/>
      <c r="B143" s="62"/>
      <c r="C143" s="63"/>
      <c r="D143" s="64"/>
      <c r="E143" s="65"/>
      <c r="F143" s="65"/>
      <c r="G143" s="66"/>
      <c r="H143" s="67"/>
      <c r="I143" s="67"/>
      <c r="J143" s="67"/>
      <c r="K143" s="67"/>
      <c r="L143" s="67"/>
      <c r="M143" s="62"/>
      <c r="N143" s="62"/>
    </row>
    <row r="144" spans="1:14" x14ac:dyDescent="0.3">
      <c r="A144" s="62"/>
      <c r="B144" s="62"/>
      <c r="C144" s="63"/>
      <c r="D144" s="64"/>
      <c r="E144" s="65"/>
      <c r="F144" s="65"/>
      <c r="G144" s="66"/>
      <c r="H144" s="67"/>
      <c r="I144" s="67"/>
      <c r="J144" s="67"/>
      <c r="K144" s="67"/>
      <c r="L144" s="67"/>
      <c r="M144" s="62"/>
      <c r="N144" s="62"/>
    </row>
    <row r="145" spans="1:14" x14ac:dyDescent="0.3">
      <c r="A145" s="62"/>
      <c r="B145" s="62"/>
      <c r="C145" s="63"/>
      <c r="D145" s="64"/>
      <c r="E145" s="65"/>
      <c r="F145" s="65"/>
      <c r="G145" s="66"/>
      <c r="H145" s="67"/>
      <c r="I145" s="67"/>
      <c r="J145" s="67"/>
      <c r="K145" s="67"/>
      <c r="L145" s="67"/>
      <c r="M145" s="62"/>
      <c r="N145" s="62"/>
    </row>
    <row r="146" spans="1:14" x14ac:dyDescent="0.3">
      <c r="A146" s="62"/>
      <c r="B146" s="62"/>
      <c r="C146" s="63"/>
      <c r="D146" s="64"/>
      <c r="E146" s="65"/>
      <c r="F146" s="65"/>
      <c r="G146" s="66"/>
      <c r="H146" s="67"/>
      <c r="I146" s="67"/>
      <c r="J146" s="67"/>
      <c r="K146" s="67"/>
      <c r="L146" s="67"/>
      <c r="M146" s="62"/>
      <c r="N146" s="62"/>
    </row>
    <row r="147" spans="1:14" x14ac:dyDescent="0.3">
      <c r="A147" s="62"/>
      <c r="B147" s="62"/>
      <c r="C147" s="63"/>
      <c r="D147" s="64"/>
      <c r="E147" s="65"/>
      <c r="F147" s="65"/>
      <c r="G147" s="66"/>
      <c r="H147" s="67"/>
      <c r="I147" s="67"/>
      <c r="J147" s="67"/>
      <c r="K147" s="67"/>
      <c r="L147" s="67"/>
      <c r="M147" s="62"/>
      <c r="N147" s="62"/>
    </row>
    <row r="148" spans="1:14" x14ac:dyDescent="0.3">
      <c r="A148" s="62"/>
      <c r="B148" s="62"/>
      <c r="C148" s="63"/>
      <c r="D148" s="64"/>
      <c r="E148" s="65"/>
      <c r="F148" s="65"/>
      <c r="G148" s="66"/>
      <c r="H148" s="67"/>
      <c r="I148" s="67"/>
      <c r="J148" s="67"/>
      <c r="K148" s="67"/>
      <c r="L148" s="67"/>
      <c r="M148" s="62"/>
      <c r="N148" s="62"/>
    </row>
    <row r="149" spans="1:14" x14ac:dyDescent="0.3">
      <c r="A149" s="62"/>
      <c r="B149" s="62"/>
      <c r="C149" s="63"/>
      <c r="D149" s="64"/>
      <c r="E149" s="65"/>
      <c r="F149" s="65"/>
      <c r="G149" s="66"/>
      <c r="H149" s="67"/>
      <c r="I149" s="67"/>
      <c r="J149" s="67"/>
      <c r="K149" s="67"/>
      <c r="L149" s="67"/>
      <c r="M149" s="62"/>
      <c r="N149" s="62"/>
    </row>
    <row r="150" spans="1:14" x14ac:dyDescent="0.3">
      <c r="A150" s="62"/>
      <c r="B150" s="62"/>
      <c r="C150" s="63"/>
      <c r="D150" s="64"/>
      <c r="E150" s="65"/>
      <c r="F150" s="65"/>
      <c r="G150" s="66"/>
      <c r="H150" s="67"/>
      <c r="I150" s="67"/>
      <c r="J150" s="67"/>
      <c r="K150" s="67"/>
      <c r="L150" s="67"/>
      <c r="M150" s="62"/>
      <c r="N150" s="62"/>
    </row>
    <row r="151" spans="1:14" x14ac:dyDescent="0.3">
      <c r="A151" s="62"/>
      <c r="B151" s="62"/>
      <c r="C151" s="63"/>
      <c r="D151" s="64"/>
      <c r="E151" s="65"/>
      <c r="F151" s="65"/>
      <c r="G151" s="66"/>
      <c r="H151" s="67"/>
      <c r="I151" s="67"/>
      <c r="J151" s="67"/>
      <c r="K151" s="67"/>
      <c r="L151" s="67"/>
      <c r="M151" s="62"/>
      <c r="N151" s="62"/>
    </row>
    <row r="152" spans="1:14" x14ac:dyDescent="0.3">
      <c r="A152" s="62"/>
      <c r="B152" s="62"/>
      <c r="C152" s="63"/>
      <c r="D152" s="64"/>
      <c r="E152" s="65"/>
      <c r="F152" s="65"/>
      <c r="G152" s="66"/>
      <c r="H152" s="67"/>
      <c r="I152" s="67"/>
      <c r="J152" s="67"/>
      <c r="K152" s="67"/>
      <c r="L152" s="67"/>
      <c r="M152" s="62"/>
      <c r="N152" s="62"/>
    </row>
    <row r="153" spans="1:14" x14ac:dyDescent="0.3">
      <c r="A153" s="62"/>
      <c r="B153" s="62"/>
      <c r="C153" s="63"/>
      <c r="D153" s="64"/>
      <c r="E153" s="65"/>
      <c r="F153" s="65"/>
      <c r="G153" s="66"/>
      <c r="H153" s="67"/>
      <c r="I153" s="67"/>
      <c r="J153" s="67"/>
      <c r="K153" s="67"/>
      <c r="L153" s="67"/>
      <c r="M153" s="62"/>
      <c r="N153" s="62"/>
    </row>
    <row r="154" spans="1:14" x14ac:dyDescent="0.3">
      <c r="A154" s="62"/>
      <c r="B154" s="62"/>
      <c r="C154" s="63"/>
      <c r="D154" s="64"/>
      <c r="E154" s="65"/>
      <c r="F154" s="65"/>
      <c r="G154" s="66"/>
      <c r="H154" s="67"/>
      <c r="I154" s="67"/>
      <c r="J154" s="67"/>
      <c r="K154" s="67"/>
      <c r="L154" s="67"/>
      <c r="M154" s="62"/>
      <c r="N154" s="62"/>
    </row>
    <row r="155" spans="1:14" x14ac:dyDescent="0.3">
      <c r="A155" s="62"/>
      <c r="B155" s="62"/>
      <c r="C155" s="63"/>
      <c r="D155" s="64"/>
      <c r="E155" s="65"/>
      <c r="F155" s="65"/>
      <c r="G155" s="66"/>
      <c r="H155" s="67"/>
      <c r="I155" s="67"/>
      <c r="J155" s="67"/>
      <c r="K155" s="67"/>
      <c r="L155" s="67"/>
      <c r="M155" s="62"/>
      <c r="N155" s="62"/>
    </row>
    <row r="156" spans="1:14" x14ac:dyDescent="0.3">
      <c r="A156" s="62"/>
      <c r="B156" s="62"/>
      <c r="C156" s="63"/>
      <c r="D156" s="64"/>
      <c r="E156" s="65"/>
      <c r="F156" s="65"/>
      <c r="G156" s="66"/>
      <c r="H156" s="67"/>
      <c r="I156" s="67"/>
      <c r="J156" s="67"/>
      <c r="K156" s="67"/>
      <c r="L156" s="67"/>
      <c r="M156" s="62"/>
      <c r="N156" s="62"/>
    </row>
    <row r="157" spans="1:14" x14ac:dyDescent="0.3">
      <c r="A157" s="62"/>
      <c r="B157" s="62"/>
      <c r="C157" s="63"/>
      <c r="D157" s="64"/>
      <c r="E157" s="65"/>
      <c r="F157" s="65"/>
      <c r="G157" s="66"/>
      <c r="H157" s="67"/>
      <c r="I157" s="67"/>
      <c r="J157" s="67"/>
      <c r="K157" s="67"/>
      <c r="L157" s="67"/>
      <c r="M157" s="62"/>
      <c r="N157" s="62"/>
    </row>
    <row r="158" spans="1:14" x14ac:dyDescent="0.3">
      <c r="A158" s="62"/>
      <c r="B158" s="62"/>
      <c r="C158" s="63"/>
      <c r="D158" s="64"/>
      <c r="E158" s="65"/>
      <c r="F158" s="65"/>
      <c r="G158" s="66"/>
      <c r="H158" s="67"/>
      <c r="I158" s="67"/>
      <c r="J158" s="67"/>
      <c r="K158" s="67"/>
      <c r="L158" s="67"/>
      <c r="M158" s="62"/>
      <c r="N158" s="62"/>
    </row>
    <row r="159" spans="1:14" x14ac:dyDescent="0.3">
      <c r="A159" s="62"/>
      <c r="B159" s="62"/>
      <c r="C159" s="63"/>
      <c r="D159" s="64"/>
      <c r="E159" s="65"/>
      <c r="F159" s="65"/>
      <c r="G159" s="66"/>
      <c r="H159" s="67"/>
      <c r="I159" s="67"/>
      <c r="J159" s="67"/>
      <c r="K159" s="67"/>
      <c r="L159" s="67"/>
      <c r="M159" s="62"/>
      <c r="N159" s="62"/>
    </row>
    <row r="160" spans="1:14" x14ac:dyDescent="0.3">
      <c r="A160" s="62"/>
      <c r="B160" s="62"/>
      <c r="C160" s="63"/>
      <c r="D160" s="64"/>
      <c r="E160" s="65"/>
      <c r="F160" s="65"/>
      <c r="G160" s="66"/>
      <c r="H160" s="67"/>
      <c r="I160" s="67"/>
      <c r="J160" s="67"/>
      <c r="K160" s="67"/>
      <c r="L160" s="67"/>
      <c r="M160" s="62"/>
      <c r="N160" s="62"/>
    </row>
    <row r="161" spans="1:14" x14ac:dyDescent="0.3">
      <c r="A161" s="62"/>
      <c r="B161" s="62"/>
      <c r="C161" s="63"/>
      <c r="D161" s="64"/>
      <c r="E161" s="65"/>
      <c r="F161" s="65"/>
      <c r="G161" s="66"/>
      <c r="H161" s="67"/>
      <c r="I161" s="67"/>
      <c r="J161" s="67"/>
      <c r="K161" s="67"/>
      <c r="L161" s="67"/>
      <c r="M161" s="62"/>
      <c r="N161" s="62"/>
    </row>
    <row r="162" spans="1:14" x14ac:dyDescent="0.3">
      <c r="A162" s="62"/>
      <c r="B162" s="62"/>
      <c r="C162" s="63"/>
      <c r="D162" s="64"/>
      <c r="E162" s="65"/>
      <c r="F162" s="65"/>
      <c r="G162" s="66"/>
      <c r="H162" s="67"/>
      <c r="I162" s="67"/>
      <c r="J162" s="67"/>
      <c r="K162" s="67"/>
      <c r="L162" s="67"/>
      <c r="M162" s="62"/>
      <c r="N162" s="62"/>
    </row>
    <row r="163" spans="1:14" x14ac:dyDescent="0.3">
      <c r="A163" s="62"/>
      <c r="B163" s="62"/>
      <c r="C163" s="63"/>
      <c r="D163" s="64"/>
      <c r="E163" s="65"/>
      <c r="F163" s="65"/>
      <c r="G163" s="66"/>
      <c r="H163" s="67"/>
      <c r="I163" s="67"/>
      <c r="J163" s="67"/>
      <c r="K163" s="67"/>
      <c r="L163" s="67"/>
      <c r="M163" s="62"/>
      <c r="N163" s="62"/>
    </row>
    <row r="164" spans="1:14" x14ac:dyDescent="0.3">
      <c r="A164" s="62"/>
      <c r="B164" s="62"/>
      <c r="C164" s="63"/>
      <c r="D164" s="64"/>
      <c r="E164" s="65"/>
      <c r="F164" s="65"/>
      <c r="G164" s="66"/>
      <c r="H164" s="67"/>
      <c r="I164" s="67"/>
      <c r="J164" s="67"/>
      <c r="K164" s="67"/>
      <c r="L164" s="67"/>
      <c r="M164" s="62"/>
      <c r="N164" s="62"/>
    </row>
    <row r="165" spans="1:14" x14ac:dyDescent="0.3">
      <c r="A165" s="62"/>
      <c r="B165" s="62"/>
      <c r="C165" s="63"/>
      <c r="D165" s="64"/>
      <c r="E165" s="65"/>
      <c r="F165" s="65"/>
      <c r="G165" s="66"/>
      <c r="H165" s="67"/>
      <c r="I165" s="67"/>
      <c r="J165" s="67"/>
      <c r="K165" s="67"/>
      <c r="L165" s="67"/>
      <c r="M165" s="62"/>
      <c r="N165" s="62"/>
    </row>
    <row r="166" spans="1:14" x14ac:dyDescent="0.3">
      <c r="A166" s="62"/>
      <c r="B166" s="62"/>
      <c r="C166" s="63"/>
      <c r="D166" s="64"/>
      <c r="E166" s="65"/>
      <c r="F166" s="65"/>
      <c r="G166" s="66"/>
      <c r="H166" s="67"/>
      <c r="I166" s="67"/>
      <c r="J166" s="67"/>
      <c r="K166" s="67"/>
      <c r="L166" s="67"/>
      <c r="M166" s="62"/>
      <c r="N166" s="62"/>
    </row>
    <row r="167" spans="1:14" x14ac:dyDescent="0.3">
      <c r="A167" s="62"/>
      <c r="B167" s="62"/>
      <c r="C167" s="63"/>
      <c r="D167" s="64"/>
      <c r="E167" s="65"/>
      <c r="F167" s="65"/>
      <c r="G167" s="66"/>
      <c r="H167" s="67"/>
      <c r="I167" s="67"/>
      <c r="J167" s="67"/>
      <c r="K167" s="67"/>
      <c r="L167" s="67"/>
      <c r="M167" s="62"/>
      <c r="N167" s="62"/>
    </row>
    <row r="168" spans="1:14" x14ac:dyDescent="0.3">
      <c r="A168" s="62"/>
      <c r="B168" s="62"/>
      <c r="C168" s="63"/>
      <c r="D168" s="64"/>
      <c r="E168" s="65"/>
      <c r="F168" s="65"/>
      <c r="G168" s="66"/>
      <c r="H168" s="67"/>
      <c r="I168" s="67"/>
      <c r="J168" s="67"/>
      <c r="K168" s="67"/>
      <c r="L168" s="67"/>
      <c r="M168" s="62"/>
      <c r="N168" s="62"/>
    </row>
    <row r="169" spans="1:14" x14ac:dyDescent="0.3">
      <c r="A169" s="62"/>
      <c r="B169" s="62"/>
      <c r="C169" s="63"/>
      <c r="D169" s="64"/>
      <c r="E169" s="65"/>
      <c r="F169" s="65"/>
      <c r="G169" s="66"/>
      <c r="H169" s="67"/>
      <c r="I169" s="67"/>
      <c r="J169" s="67"/>
      <c r="K169" s="67"/>
      <c r="L169" s="67"/>
      <c r="M169" s="62"/>
      <c r="N169" s="62"/>
    </row>
    <row r="170" spans="1:14" x14ac:dyDescent="0.3">
      <c r="A170" s="62"/>
      <c r="B170" s="62"/>
      <c r="C170" s="63"/>
      <c r="D170" s="64"/>
      <c r="E170" s="65"/>
      <c r="F170" s="65"/>
      <c r="G170" s="66"/>
      <c r="H170" s="67"/>
      <c r="I170" s="67"/>
      <c r="J170" s="67"/>
      <c r="K170" s="67"/>
      <c r="L170" s="67"/>
      <c r="M170" s="62"/>
      <c r="N170" s="62"/>
    </row>
    <row r="171" spans="1:14" x14ac:dyDescent="0.3">
      <c r="A171" s="62"/>
      <c r="B171" s="62"/>
      <c r="C171" s="63"/>
      <c r="D171" s="64"/>
      <c r="E171" s="65"/>
      <c r="F171" s="65"/>
      <c r="G171" s="66"/>
      <c r="H171" s="67"/>
      <c r="I171" s="67"/>
      <c r="J171" s="67"/>
      <c r="K171" s="67"/>
      <c r="L171" s="67"/>
      <c r="M171" s="62"/>
      <c r="N171" s="62"/>
    </row>
    <row r="172" spans="1:14" x14ac:dyDescent="0.3">
      <c r="A172" s="62"/>
      <c r="B172" s="62"/>
      <c r="C172" s="63"/>
      <c r="D172" s="64"/>
      <c r="E172" s="65"/>
      <c r="F172" s="65"/>
      <c r="G172" s="66"/>
      <c r="H172" s="67"/>
      <c r="I172" s="67"/>
      <c r="J172" s="67"/>
      <c r="K172" s="67"/>
      <c r="L172" s="67"/>
      <c r="M172" s="62"/>
      <c r="N172" s="62"/>
    </row>
    <row r="173" spans="1:14" x14ac:dyDescent="0.3">
      <c r="A173" s="62"/>
      <c r="B173" s="62"/>
      <c r="C173" s="63"/>
      <c r="D173" s="64"/>
      <c r="E173" s="65"/>
      <c r="F173" s="65"/>
      <c r="G173" s="66"/>
      <c r="H173" s="67"/>
      <c r="I173" s="67"/>
      <c r="J173" s="67"/>
      <c r="K173" s="67"/>
      <c r="L173" s="67"/>
      <c r="M173" s="62"/>
      <c r="N173" s="62"/>
    </row>
    <row r="174" spans="1:14" x14ac:dyDescent="0.3">
      <c r="A174" s="62"/>
      <c r="B174" s="62"/>
      <c r="C174" s="63"/>
      <c r="D174" s="64"/>
      <c r="E174" s="65"/>
      <c r="F174" s="65"/>
      <c r="G174" s="66"/>
      <c r="H174" s="67"/>
      <c r="I174" s="67"/>
      <c r="J174" s="67"/>
      <c r="K174" s="67"/>
      <c r="L174" s="67"/>
      <c r="M174" s="62"/>
      <c r="N174" s="62"/>
    </row>
    <row r="175" spans="1:14" x14ac:dyDescent="0.3">
      <c r="A175" s="62"/>
      <c r="B175" s="62"/>
      <c r="C175" s="63"/>
      <c r="D175" s="64"/>
      <c r="E175" s="65"/>
      <c r="F175" s="65"/>
      <c r="G175" s="66"/>
      <c r="H175" s="67"/>
      <c r="I175" s="67"/>
      <c r="J175" s="67"/>
      <c r="K175" s="67"/>
      <c r="L175" s="67"/>
      <c r="M175" s="62"/>
      <c r="N175" s="62"/>
    </row>
    <row r="176" spans="1:14" x14ac:dyDescent="0.3">
      <c r="A176" s="62"/>
      <c r="B176" s="62"/>
      <c r="C176" s="63"/>
      <c r="D176" s="64"/>
      <c r="E176" s="65"/>
      <c r="F176" s="65"/>
      <c r="G176" s="66"/>
      <c r="H176" s="67"/>
      <c r="I176" s="67"/>
      <c r="J176" s="67"/>
      <c r="K176" s="67"/>
      <c r="L176" s="67"/>
      <c r="M176" s="62"/>
      <c r="N176" s="62"/>
    </row>
    <row r="177" spans="1:14" x14ac:dyDescent="0.3">
      <c r="A177" s="62"/>
      <c r="B177" s="62"/>
      <c r="C177" s="63"/>
      <c r="D177" s="64"/>
      <c r="E177" s="65"/>
      <c r="F177" s="65"/>
      <c r="G177" s="66"/>
      <c r="H177" s="67"/>
      <c r="I177" s="67"/>
      <c r="J177" s="67"/>
      <c r="K177" s="67"/>
      <c r="L177" s="67"/>
      <c r="M177" s="62"/>
      <c r="N177" s="62"/>
    </row>
    <row r="178" spans="1:14" x14ac:dyDescent="0.3">
      <c r="A178" s="62"/>
      <c r="B178" s="62"/>
      <c r="C178" s="63"/>
      <c r="D178" s="64"/>
      <c r="E178" s="65"/>
      <c r="F178" s="65"/>
      <c r="G178" s="66"/>
      <c r="H178" s="67"/>
      <c r="I178" s="67"/>
      <c r="J178" s="67"/>
      <c r="K178" s="67"/>
      <c r="L178" s="67"/>
      <c r="M178" s="62"/>
      <c r="N178" s="62"/>
    </row>
    <row r="179" spans="1:14" x14ac:dyDescent="0.3">
      <c r="A179" s="62"/>
      <c r="B179" s="62"/>
      <c r="C179" s="63"/>
      <c r="D179" s="64"/>
      <c r="E179" s="65"/>
      <c r="F179" s="65"/>
      <c r="G179" s="66"/>
      <c r="H179" s="67"/>
      <c r="I179" s="67"/>
      <c r="J179" s="67"/>
      <c r="K179" s="67"/>
      <c r="L179" s="67"/>
      <c r="M179" s="62"/>
      <c r="N179" s="62"/>
    </row>
    <row r="180" spans="1:14" x14ac:dyDescent="0.3">
      <c r="A180" s="62"/>
      <c r="B180" s="62"/>
      <c r="C180" s="63"/>
      <c r="D180" s="64"/>
      <c r="E180" s="65"/>
      <c r="F180" s="65"/>
      <c r="G180" s="66"/>
      <c r="H180" s="67"/>
      <c r="I180" s="67"/>
      <c r="J180" s="67"/>
      <c r="K180" s="67"/>
      <c r="L180" s="67"/>
      <c r="M180" s="62"/>
      <c r="N180" s="62"/>
    </row>
    <row r="181" spans="1:14" x14ac:dyDescent="0.3">
      <c r="A181" s="62"/>
      <c r="B181" s="62"/>
      <c r="C181" s="63"/>
      <c r="D181" s="64"/>
      <c r="E181" s="65"/>
      <c r="F181" s="65"/>
      <c r="G181" s="66"/>
      <c r="H181" s="67"/>
      <c r="I181" s="67"/>
      <c r="J181" s="67"/>
      <c r="K181" s="67"/>
      <c r="L181" s="67"/>
      <c r="M181" s="62"/>
      <c r="N181" s="62"/>
    </row>
    <row r="182" spans="1:14" x14ac:dyDescent="0.3">
      <c r="A182" s="62"/>
      <c r="B182" s="62"/>
      <c r="C182" s="63"/>
      <c r="D182" s="64"/>
      <c r="E182" s="65"/>
      <c r="F182" s="65"/>
      <c r="G182" s="66"/>
      <c r="H182" s="67"/>
      <c r="I182" s="67"/>
      <c r="J182" s="67"/>
      <c r="K182" s="67"/>
      <c r="L182" s="67"/>
      <c r="M182" s="62"/>
      <c r="N182" s="62"/>
    </row>
    <row r="183" spans="1:14" x14ac:dyDescent="0.3">
      <c r="A183" s="62"/>
      <c r="B183" s="62"/>
      <c r="C183" s="63"/>
      <c r="D183" s="64"/>
      <c r="E183" s="65"/>
      <c r="F183" s="65"/>
      <c r="G183" s="66"/>
      <c r="H183" s="67"/>
      <c r="I183" s="67"/>
      <c r="J183" s="67"/>
      <c r="K183" s="67"/>
      <c r="L183" s="67"/>
      <c r="M183" s="62"/>
      <c r="N183" s="62"/>
    </row>
    <row r="184" spans="1:14" s="52" customFormat="1" x14ac:dyDescent="0.3">
      <c r="A184" s="62"/>
      <c r="B184" s="62"/>
      <c r="C184" s="63"/>
      <c r="D184" s="64"/>
      <c r="E184" s="65"/>
      <c r="F184" s="65"/>
      <c r="G184" s="66"/>
      <c r="H184" s="67"/>
      <c r="I184" s="67"/>
      <c r="J184" s="67"/>
      <c r="K184" s="67"/>
      <c r="L184" s="67"/>
      <c r="M184" s="62"/>
      <c r="N184" s="62"/>
    </row>
    <row r="185" spans="1:14" s="52" customFormat="1" x14ac:dyDescent="0.3">
      <c r="A185" s="62"/>
      <c r="B185" s="62"/>
      <c r="C185" s="63"/>
      <c r="D185" s="64"/>
      <c r="E185" s="65"/>
      <c r="F185" s="65"/>
      <c r="G185" s="66"/>
      <c r="H185" s="67"/>
      <c r="I185" s="67"/>
      <c r="J185" s="67"/>
      <c r="K185" s="67"/>
      <c r="L185" s="67"/>
      <c r="M185" s="62"/>
      <c r="N185" s="62"/>
    </row>
    <row r="186" spans="1:14" s="52" customFormat="1" x14ac:dyDescent="0.3">
      <c r="A186" s="62"/>
      <c r="B186" s="62"/>
      <c r="C186" s="63"/>
      <c r="D186" s="64"/>
      <c r="E186" s="65"/>
      <c r="F186" s="65"/>
      <c r="G186" s="66"/>
      <c r="H186" s="67"/>
      <c r="I186" s="67"/>
      <c r="J186" s="67"/>
      <c r="K186" s="67"/>
      <c r="L186" s="67"/>
      <c r="M186" s="62"/>
      <c r="N186" s="62"/>
    </row>
    <row r="187" spans="1:14" s="52" customFormat="1" x14ac:dyDescent="0.3">
      <c r="A187" s="62"/>
      <c r="B187" s="62"/>
      <c r="C187" s="63"/>
      <c r="D187" s="64"/>
      <c r="E187" s="65"/>
      <c r="F187" s="65"/>
      <c r="G187" s="66"/>
      <c r="H187" s="67"/>
      <c r="I187" s="67"/>
      <c r="J187" s="67"/>
      <c r="K187" s="67"/>
      <c r="L187" s="67"/>
      <c r="M187" s="62"/>
      <c r="N187" s="62"/>
    </row>
    <row r="188" spans="1:14" s="52" customFormat="1" x14ac:dyDescent="0.3">
      <c r="A188" s="62"/>
      <c r="B188" s="62"/>
      <c r="C188" s="63"/>
      <c r="D188" s="64"/>
      <c r="E188" s="65"/>
      <c r="F188" s="65"/>
      <c r="G188" s="66"/>
      <c r="H188" s="67"/>
      <c r="I188" s="67"/>
      <c r="J188" s="67"/>
      <c r="K188" s="67"/>
      <c r="L188" s="67"/>
      <c r="M188" s="62"/>
      <c r="N188" s="62"/>
    </row>
    <row r="189" spans="1:14" s="52" customFormat="1" x14ac:dyDescent="0.3">
      <c r="A189" s="62"/>
      <c r="B189" s="62"/>
      <c r="C189" s="63"/>
      <c r="D189" s="64"/>
      <c r="E189" s="65"/>
      <c r="F189" s="65"/>
      <c r="G189" s="66"/>
      <c r="H189" s="67"/>
      <c r="I189" s="67"/>
      <c r="J189" s="67"/>
      <c r="K189" s="67"/>
      <c r="L189" s="67"/>
      <c r="M189" s="62"/>
      <c r="N189" s="62"/>
    </row>
    <row r="190" spans="1:14" s="52" customFormat="1" x14ac:dyDescent="0.3">
      <c r="A190" s="62"/>
      <c r="B190" s="62"/>
      <c r="C190" s="63"/>
      <c r="D190" s="64"/>
      <c r="E190" s="65"/>
      <c r="F190" s="65"/>
      <c r="G190" s="66"/>
      <c r="H190" s="67"/>
      <c r="I190" s="67"/>
      <c r="J190" s="67"/>
      <c r="K190" s="67"/>
      <c r="L190" s="67"/>
      <c r="M190" s="62"/>
      <c r="N190" s="62"/>
    </row>
    <row r="191" spans="1:14" s="52" customFormat="1" x14ac:dyDescent="0.3">
      <c r="A191" s="62"/>
      <c r="B191" s="62"/>
      <c r="C191" s="63"/>
      <c r="D191" s="64"/>
      <c r="E191" s="65"/>
      <c r="F191" s="65"/>
      <c r="G191" s="66"/>
      <c r="H191" s="67"/>
      <c r="I191" s="67"/>
      <c r="J191" s="67"/>
      <c r="K191" s="67"/>
      <c r="L191" s="67"/>
      <c r="M191" s="62"/>
      <c r="N191" s="62"/>
    </row>
    <row r="192" spans="1:14" s="52" customFormat="1" x14ac:dyDescent="0.3">
      <c r="A192" s="62"/>
      <c r="B192" s="62"/>
      <c r="C192" s="63"/>
      <c r="D192" s="64"/>
      <c r="E192" s="65"/>
      <c r="F192" s="65"/>
      <c r="G192" s="66"/>
      <c r="H192" s="67"/>
      <c r="I192" s="67"/>
      <c r="J192" s="67"/>
      <c r="K192" s="67"/>
      <c r="L192" s="67"/>
      <c r="M192" s="62"/>
      <c r="N192" s="62"/>
    </row>
    <row r="193" spans="1:14" s="52" customFormat="1" x14ac:dyDescent="0.3">
      <c r="A193" s="62"/>
      <c r="B193" s="62"/>
      <c r="C193" s="63"/>
      <c r="D193" s="64"/>
      <c r="E193" s="65"/>
      <c r="F193" s="65"/>
      <c r="G193" s="66"/>
      <c r="H193" s="67"/>
      <c r="I193" s="67"/>
      <c r="J193" s="67"/>
      <c r="K193" s="67"/>
      <c r="L193" s="67"/>
      <c r="M193" s="62"/>
      <c r="N193" s="62"/>
    </row>
    <row r="194" spans="1:14" s="52" customFormat="1" x14ac:dyDescent="0.3">
      <c r="A194" s="62"/>
      <c r="B194" s="62"/>
      <c r="C194" s="63"/>
      <c r="D194" s="64"/>
      <c r="E194" s="65"/>
      <c r="F194" s="65"/>
      <c r="G194" s="66"/>
      <c r="H194" s="67"/>
      <c r="I194" s="67"/>
      <c r="J194" s="67"/>
      <c r="K194" s="67"/>
      <c r="L194" s="67"/>
      <c r="M194" s="62"/>
      <c r="N194" s="62"/>
    </row>
    <row r="195" spans="1:14" s="52" customFormat="1" x14ac:dyDescent="0.3">
      <c r="A195" s="62"/>
      <c r="B195" s="62"/>
      <c r="C195" s="63"/>
      <c r="D195" s="64"/>
      <c r="E195" s="65"/>
      <c r="F195" s="65"/>
      <c r="G195" s="66"/>
      <c r="H195" s="67"/>
      <c r="I195" s="67"/>
      <c r="J195" s="67"/>
      <c r="K195" s="67"/>
      <c r="L195" s="67"/>
      <c r="M195" s="62"/>
      <c r="N195" s="62"/>
    </row>
    <row r="196" spans="1:14" s="52" customFormat="1" x14ac:dyDescent="0.3">
      <c r="A196" s="62"/>
      <c r="B196" s="62"/>
      <c r="C196" s="63"/>
      <c r="D196" s="64"/>
      <c r="E196" s="65"/>
      <c r="F196" s="65"/>
      <c r="G196" s="66"/>
      <c r="H196" s="67"/>
      <c r="I196" s="67"/>
      <c r="J196" s="67"/>
      <c r="K196" s="67"/>
      <c r="L196" s="67"/>
      <c r="M196" s="62"/>
      <c r="N196" s="62"/>
    </row>
    <row r="197" spans="1:14" s="52" customFormat="1" x14ac:dyDescent="0.3">
      <c r="A197" s="62"/>
      <c r="B197" s="62"/>
      <c r="C197" s="63"/>
      <c r="D197" s="64"/>
      <c r="E197" s="65"/>
      <c r="F197" s="65"/>
      <c r="G197" s="66"/>
      <c r="H197" s="67"/>
      <c r="I197" s="67"/>
      <c r="J197" s="67"/>
      <c r="K197" s="67"/>
      <c r="L197" s="67"/>
      <c r="M197" s="62"/>
      <c r="N197" s="62"/>
    </row>
    <row r="198" spans="1:14" s="52" customFormat="1" x14ac:dyDescent="0.3">
      <c r="A198" s="62"/>
      <c r="B198" s="62"/>
      <c r="C198" s="63"/>
      <c r="D198" s="64"/>
      <c r="E198" s="65"/>
      <c r="F198" s="65"/>
      <c r="G198" s="66"/>
      <c r="H198" s="67"/>
      <c r="I198" s="67"/>
      <c r="J198" s="67"/>
      <c r="K198" s="67"/>
      <c r="L198" s="67"/>
      <c r="M198" s="62"/>
      <c r="N198" s="62"/>
    </row>
    <row r="199" spans="1:14" s="52" customFormat="1" x14ac:dyDescent="0.3">
      <c r="A199" s="62"/>
      <c r="B199" s="62"/>
      <c r="C199" s="63"/>
      <c r="D199" s="64"/>
      <c r="E199" s="65"/>
      <c r="F199" s="65"/>
      <c r="G199" s="66"/>
      <c r="H199" s="67"/>
      <c r="I199" s="67"/>
      <c r="J199" s="67"/>
      <c r="K199" s="67"/>
      <c r="L199" s="67"/>
      <c r="M199" s="62"/>
      <c r="N199" s="62"/>
    </row>
    <row r="200" spans="1:14" s="52" customFormat="1" x14ac:dyDescent="0.3">
      <c r="A200" s="62"/>
      <c r="B200" s="62"/>
      <c r="C200" s="63"/>
      <c r="D200" s="64"/>
      <c r="E200" s="65"/>
      <c r="F200" s="65"/>
      <c r="G200" s="66"/>
      <c r="H200" s="67"/>
      <c r="I200" s="67"/>
      <c r="J200" s="67"/>
      <c r="K200" s="67"/>
      <c r="L200" s="67"/>
      <c r="M200" s="62"/>
      <c r="N200" s="62"/>
    </row>
    <row r="201" spans="1:14" s="52" customFormat="1" x14ac:dyDescent="0.3">
      <c r="A201" s="62"/>
      <c r="B201" s="62"/>
      <c r="C201" s="63"/>
      <c r="D201" s="64"/>
      <c r="E201" s="65"/>
      <c r="F201" s="65"/>
      <c r="G201" s="66"/>
      <c r="H201" s="67"/>
      <c r="I201" s="67"/>
      <c r="J201" s="67"/>
      <c r="K201" s="67"/>
      <c r="L201" s="67"/>
      <c r="M201" s="62"/>
      <c r="N201" s="62"/>
    </row>
    <row r="202" spans="1:14" s="52" customFormat="1" x14ac:dyDescent="0.3">
      <c r="A202" s="62"/>
      <c r="B202" s="62"/>
      <c r="C202" s="63"/>
      <c r="D202" s="64"/>
      <c r="E202" s="65"/>
      <c r="F202" s="65"/>
      <c r="G202" s="66"/>
      <c r="H202" s="67"/>
      <c r="I202" s="67"/>
      <c r="J202" s="67"/>
      <c r="K202" s="67"/>
      <c r="L202" s="67"/>
      <c r="M202" s="62"/>
      <c r="N202" s="62"/>
    </row>
    <row r="203" spans="1:14" s="52" customFormat="1" x14ac:dyDescent="0.3">
      <c r="A203" s="62"/>
      <c r="B203" s="62"/>
      <c r="C203" s="63"/>
      <c r="D203" s="64"/>
      <c r="E203" s="65"/>
      <c r="F203" s="65"/>
      <c r="G203" s="66"/>
      <c r="H203" s="67"/>
      <c r="I203" s="67"/>
      <c r="J203" s="67"/>
      <c r="K203" s="67"/>
      <c r="L203" s="67"/>
      <c r="M203" s="62"/>
      <c r="N203" s="62"/>
    </row>
    <row r="204" spans="1:14" s="52" customFormat="1" x14ac:dyDescent="0.3">
      <c r="A204" s="62"/>
      <c r="B204" s="62"/>
      <c r="C204" s="63"/>
      <c r="D204" s="64"/>
      <c r="E204" s="65"/>
      <c r="F204" s="65"/>
      <c r="G204" s="66"/>
      <c r="H204" s="67"/>
      <c r="I204" s="67"/>
      <c r="J204" s="67"/>
      <c r="K204" s="67"/>
      <c r="L204" s="67"/>
      <c r="M204" s="62"/>
      <c r="N204" s="62"/>
    </row>
    <row r="205" spans="1:14" s="52" customFormat="1" x14ac:dyDescent="0.3">
      <c r="A205" s="62"/>
      <c r="B205" s="62"/>
      <c r="C205" s="63"/>
      <c r="D205" s="64"/>
      <c r="E205" s="65"/>
      <c r="F205" s="65"/>
      <c r="G205" s="66"/>
      <c r="H205" s="67"/>
      <c r="I205" s="67"/>
      <c r="J205" s="67"/>
      <c r="K205" s="67"/>
      <c r="L205" s="67"/>
      <c r="M205" s="62"/>
      <c r="N205" s="62"/>
    </row>
    <row r="206" spans="1:14" s="52" customFormat="1" x14ac:dyDescent="0.3">
      <c r="A206" s="62"/>
      <c r="B206" s="62"/>
      <c r="C206" s="63"/>
      <c r="D206" s="64"/>
      <c r="E206" s="65"/>
      <c r="F206" s="65"/>
      <c r="G206" s="66"/>
      <c r="H206" s="67"/>
      <c r="I206" s="67"/>
      <c r="J206" s="67"/>
      <c r="K206" s="67"/>
      <c r="L206" s="67"/>
      <c r="M206" s="62"/>
      <c r="N206" s="62"/>
    </row>
    <row r="207" spans="1:14" x14ac:dyDescent="0.3">
      <c r="A207" s="62"/>
      <c r="B207" s="62"/>
      <c r="C207" s="63"/>
      <c r="D207" s="64"/>
      <c r="E207" s="65"/>
      <c r="F207" s="65"/>
      <c r="G207" s="66"/>
      <c r="H207" s="67"/>
      <c r="I207" s="67"/>
      <c r="J207" s="67"/>
      <c r="K207" s="67"/>
      <c r="L207" s="67"/>
      <c r="M207" s="62"/>
      <c r="N207" s="62"/>
    </row>
    <row r="208" spans="1:14" x14ac:dyDescent="0.3">
      <c r="A208" s="62"/>
      <c r="B208" s="62"/>
      <c r="C208" s="63"/>
      <c r="D208" s="64"/>
      <c r="E208" s="65"/>
      <c r="F208" s="65"/>
      <c r="G208" s="66"/>
      <c r="H208" s="67"/>
      <c r="I208" s="67"/>
      <c r="J208" s="67"/>
      <c r="K208" s="67"/>
      <c r="L208" s="67"/>
      <c r="M208" s="62"/>
      <c r="N208" s="62"/>
    </row>
    <row r="209" spans="1:14" x14ac:dyDescent="0.3">
      <c r="A209" s="62"/>
      <c r="B209" s="62"/>
      <c r="C209" s="63"/>
      <c r="D209" s="64"/>
      <c r="E209" s="65"/>
      <c r="F209" s="65"/>
      <c r="G209" s="66"/>
      <c r="H209" s="67"/>
      <c r="I209" s="67"/>
      <c r="J209" s="67"/>
      <c r="K209" s="67"/>
      <c r="L209" s="67"/>
      <c r="M209" s="62"/>
      <c r="N209" s="62"/>
    </row>
    <row r="210" spans="1:14" x14ac:dyDescent="0.3">
      <c r="A210" s="62"/>
      <c r="B210" s="62"/>
      <c r="C210" s="63"/>
      <c r="D210" s="64"/>
      <c r="E210" s="65"/>
      <c r="F210" s="65"/>
      <c r="G210" s="66"/>
      <c r="H210" s="67"/>
      <c r="I210" s="67"/>
      <c r="J210" s="67"/>
      <c r="K210" s="67"/>
      <c r="L210" s="67"/>
      <c r="M210" s="62"/>
      <c r="N210" s="62"/>
    </row>
    <row r="211" spans="1:14" x14ac:dyDescent="0.3">
      <c r="A211" s="62"/>
      <c r="B211" s="62"/>
      <c r="C211" s="63"/>
      <c r="D211" s="64"/>
      <c r="E211" s="65"/>
      <c r="F211" s="65"/>
      <c r="G211" s="66"/>
      <c r="H211" s="67"/>
      <c r="I211" s="67"/>
      <c r="J211" s="67"/>
      <c r="K211" s="67"/>
      <c r="L211" s="67"/>
      <c r="M211" s="62"/>
      <c r="N211" s="62"/>
    </row>
    <row r="212" spans="1:14" x14ac:dyDescent="0.3">
      <c r="A212" s="62"/>
      <c r="B212" s="62"/>
      <c r="C212" s="63"/>
      <c r="D212" s="64"/>
      <c r="E212" s="65"/>
      <c r="F212" s="65"/>
      <c r="G212" s="66"/>
      <c r="H212" s="67"/>
      <c r="I212" s="67"/>
      <c r="J212" s="67"/>
      <c r="K212" s="67"/>
      <c r="L212" s="67"/>
      <c r="M212" s="62"/>
      <c r="N212" s="62"/>
    </row>
    <row r="213" spans="1:14" x14ac:dyDescent="0.3">
      <c r="A213" s="62"/>
      <c r="B213" s="62"/>
      <c r="C213" s="63"/>
      <c r="D213" s="64"/>
      <c r="E213" s="65"/>
      <c r="F213" s="65"/>
      <c r="G213" s="66"/>
      <c r="H213" s="67"/>
      <c r="I213" s="67"/>
      <c r="J213" s="67"/>
      <c r="K213" s="67"/>
      <c r="L213" s="67"/>
      <c r="M213" s="62"/>
      <c r="N213" s="62"/>
    </row>
    <row r="214" spans="1:14" x14ac:dyDescent="0.3">
      <c r="A214" s="62"/>
      <c r="B214" s="62"/>
      <c r="C214" s="63"/>
      <c r="D214" s="64"/>
      <c r="E214" s="65"/>
      <c r="F214" s="65"/>
      <c r="G214" s="66"/>
      <c r="H214" s="67"/>
      <c r="I214" s="67"/>
      <c r="J214" s="67"/>
      <c r="K214" s="67"/>
      <c r="L214" s="67"/>
      <c r="M214" s="62"/>
      <c r="N214" s="62"/>
    </row>
    <row r="215" spans="1:14" x14ac:dyDescent="0.3">
      <c r="A215" s="62"/>
      <c r="B215" s="62"/>
      <c r="C215" s="63"/>
      <c r="D215" s="64"/>
      <c r="E215" s="65"/>
      <c r="F215" s="65"/>
      <c r="G215" s="66"/>
      <c r="H215" s="67"/>
      <c r="I215" s="67"/>
      <c r="J215" s="67"/>
      <c r="K215" s="67"/>
      <c r="L215" s="67"/>
      <c r="M215" s="62"/>
      <c r="N215" s="62"/>
    </row>
    <row r="216" spans="1:14" x14ac:dyDescent="0.3">
      <c r="A216" s="62"/>
      <c r="B216" s="62"/>
      <c r="C216" s="63"/>
      <c r="D216" s="64"/>
      <c r="E216" s="65"/>
      <c r="F216" s="65"/>
      <c r="G216" s="66"/>
      <c r="H216" s="67"/>
      <c r="I216" s="67"/>
      <c r="J216" s="67"/>
      <c r="K216" s="67"/>
      <c r="L216" s="67"/>
      <c r="M216" s="62"/>
      <c r="N216" s="62"/>
    </row>
    <row r="217" spans="1:14" x14ac:dyDescent="0.3">
      <c r="A217" s="62"/>
      <c r="B217" s="62"/>
      <c r="C217" s="63"/>
      <c r="D217" s="64"/>
      <c r="E217" s="65"/>
      <c r="F217" s="65"/>
      <c r="G217" s="66"/>
      <c r="H217" s="67"/>
      <c r="I217" s="67"/>
      <c r="J217" s="67"/>
      <c r="K217" s="67"/>
      <c r="L217" s="67"/>
      <c r="M217" s="62"/>
      <c r="N217" s="62"/>
    </row>
    <row r="218" spans="1:14" x14ac:dyDescent="0.3">
      <c r="A218" s="62"/>
      <c r="B218" s="62"/>
      <c r="C218" s="63"/>
      <c r="D218" s="64"/>
      <c r="E218" s="65"/>
      <c r="F218" s="65"/>
      <c r="G218" s="66"/>
      <c r="H218" s="67"/>
      <c r="I218" s="67"/>
      <c r="J218" s="67"/>
      <c r="K218" s="67"/>
      <c r="L218" s="67"/>
      <c r="M218" s="62"/>
      <c r="N218" s="62"/>
    </row>
    <row r="219" spans="1:14" x14ac:dyDescent="0.3">
      <c r="A219" s="62"/>
      <c r="B219" s="62"/>
      <c r="C219" s="63"/>
      <c r="D219" s="64"/>
      <c r="E219" s="65"/>
      <c r="F219" s="65"/>
      <c r="G219" s="66"/>
      <c r="H219" s="67"/>
      <c r="I219" s="67"/>
      <c r="J219" s="67"/>
      <c r="K219" s="67"/>
      <c r="L219" s="67"/>
      <c r="M219" s="62"/>
      <c r="N219" s="62"/>
    </row>
    <row r="220" spans="1:14" x14ac:dyDescent="0.3">
      <c r="A220" s="62"/>
      <c r="B220" s="62"/>
      <c r="C220" s="63"/>
      <c r="D220" s="64"/>
      <c r="E220" s="65"/>
      <c r="F220" s="65"/>
      <c r="G220" s="66"/>
      <c r="H220" s="67"/>
      <c r="I220" s="67"/>
      <c r="J220" s="67"/>
      <c r="K220" s="67"/>
      <c r="L220" s="67"/>
      <c r="M220" s="62"/>
      <c r="N220" s="62"/>
    </row>
    <row r="221" spans="1:14" x14ac:dyDescent="0.3">
      <c r="A221" s="62"/>
      <c r="B221" s="62"/>
      <c r="C221" s="63"/>
      <c r="D221" s="64"/>
      <c r="E221" s="65"/>
      <c r="F221" s="65"/>
      <c r="G221" s="66"/>
      <c r="H221" s="67"/>
      <c r="I221" s="67"/>
      <c r="J221" s="67"/>
      <c r="K221" s="67"/>
      <c r="L221" s="67"/>
      <c r="M221" s="62"/>
      <c r="N221" s="62"/>
    </row>
    <row r="222" spans="1:14" x14ac:dyDescent="0.3">
      <c r="A222" s="62"/>
      <c r="B222" s="62"/>
      <c r="C222" s="63"/>
      <c r="D222" s="64"/>
      <c r="E222" s="65"/>
      <c r="F222" s="65"/>
      <c r="G222" s="66"/>
      <c r="H222" s="67"/>
      <c r="I222" s="67"/>
      <c r="J222" s="67"/>
      <c r="K222" s="67"/>
      <c r="L222" s="67"/>
      <c r="M222" s="62"/>
      <c r="N222" s="62"/>
    </row>
    <row r="223" spans="1:14" x14ac:dyDescent="0.3">
      <c r="A223" s="62"/>
      <c r="B223" s="62"/>
      <c r="C223" s="63"/>
      <c r="D223" s="64"/>
      <c r="E223" s="65"/>
      <c r="F223" s="65"/>
      <c r="G223" s="66"/>
      <c r="H223" s="67"/>
      <c r="I223" s="67"/>
      <c r="J223" s="67"/>
      <c r="K223" s="67"/>
      <c r="L223" s="67"/>
      <c r="M223" s="62"/>
      <c r="N223" s="62"/>
    </row>
    <row r="224" spans="1:14" x14ac:dyDescent="0.3">
      <c r="A224" s="62"/>
      <c r="B224" s="69"/>
      <c r="C224" s="63"/>
      <c r="D224" s="64"/>
      <c r="E224" s="65"/>
      <c r="F224" s="65"/>
      <c r="G224" s="66"/>
      <c r="H224" s="67"/>
      <c r="I224" s="67"/>
      <c r="J224" s="67"/>
      <c r="K224" s="67"/>
      <c r="L224" s="67"/>
      <c r="M224" s="62"/>
      <c r="N224" s="62"/>
    </row>
    <row r="225" spans="1:14" x14ac:dyDescent="0.3">
      <c r="A225" s="62"/>
      <c r="B225" s="62"/>
      <c r="C225" s="63"/>
      <c r="D225" s="64"/>
      <c r="E225" s="65"/>
      <c r="F225" s="65"/>
      <c r="G225" s="66"/>
      <c r="H225" s="67"/>
      <c r="I225" s="67"/>
      <c r="J225" s="67"/>
      <c r="K225" s="67"/>
      <c r="L225" s="67"/>
      <c r="M225" s="62"/>
      <c r="N225" s="62"/>
    </row>
    <row r="226" spans="1:14" x14ac:dyDescent="0.3">
      <c r="A226" s="62"/>
      <c r="B226" s="62"/>
      <c r="C226" s="63"/>
      <c r="D226" s="64"/>
      <c r="E226" s="65"/>
      <c r="F226" s="65"/>
      <c r="G226" s="66"/>
      <c r="H226" s="67"/>
      <c r="I226" s="67"/>
      <c r="J226" s="67"/>
      <c r="K226" s="67"/>
      <c r="L226" s="67"/>
      <c r="M226" s="62"/>
      <c r="N226" s="62"/>
    </row>
    <row r="227" spans="1:14" x14ac:dyDescent="0.3">
      <c r="A227" s="62"/>
      <c r="B227" s="62"/>
      <c r="C227" s="63"/>
      <c r="D227" s="64"/>
      <c r="E227" s="65"/>
      <c r="F227" s="65"/>
      <c r="G227" s="66"/>
      <c r="H227" s="67"/>
      <c r="I227" s="67"/>
      <c r="J227" s="67"/>
      <c r="K227" s="67"/>
      <c r="L227" s="67"/>
      <c r="M227" s="62"/>
      <c r="N227" s="62"/>
    </row>
    <row r="228" spans="1:14" x14ac:dyDescent="0.3">
      <c r="A228" s="62"/>
      <c r="B228" s="62"/>
      <c r="C228" s="63"/>
      <c r="D228" s="64"/>
      <c r="E228" s="65"/>
      <c r="F228" s="65"/>
      <c r="G228" s="66"/>
      <c r="H228" s="67"/>
      <c r="I228" s="67"/>
      <c r="J228" s="67"/>
      <c r="K228" s="67"/>
      <c r="L228" s="67"/>
      <c r="M228" s="62"/>
      <c r="N228" s="62"/>
    </row>
    <row r="229" spans="1:14" x14ac:dyDescent="0.3">
      <c r="A229" s="62"/>
      <c r="B229" s="62"/>
      <c r="C229" s="63"/>
      <c r="D229" s="64"/>
      <c r="E229" s="65"/>
      <c r="F229" s="65"/>
      <c r="G229" s="66"/>
      <c r="H229" s="67"/>
      <c r="I229" s="67"/>
      <c r="J229" s="67"/>
      <c r="K229" s="67"/>
      <c r="L229" s="67"/>
      <c r="M229" s="62"/>
      <c r="N229" s="62"/>
    </row>
    <row r="230" spans="1:14" x14ac:dyDescent="0.3">
      <c r="A230" s="62"/>
      <c r="B230" s="62"/>
      <c r="C230" s="63"/>
      <c r="D230" s="64"/>
      <c r="E230" s="65"/>
      <c r="F230" s="65"/>
      <c r="G230" s="66"/>
      <c r="H230" s="67"/>
      <c r="I230" s="67"/>
      <c r="J230" s="67"/>
      <c r="K230" s="67"/>
      <c r="L230" s="67"/>
      <c r="M230" s="62"/>
      <c r="N230" s="62"/>
    </row>
    <row r="231" spans="1:14" x14ac:dyDescent="0.3">
      <c r="A231" s="62"/>
      <c r="B231" s="62"/>
      <c r="C231" s="63"/>
      <c r="D231" s="64"/>
      <c r="E231" s="65"/>
      <c r="F231" s="65"/>
      <c r="G231" s="66"/>
      <c r="H231" s="67"/>
      <c r="I231" s="67"/>
      <c r="J231" s="67"/>
      <c r="K231" s="67"/>
      <c r="L231" s="67"/>
      <c r="M231" s="62"/>
      <c r="N231" s="62"/>
    </row>
    <row r="232" spans="1:14" x14ac:dyDescent="0.3">
      <c r="A232" s="62"/>
      <c r="B232" s="62"/>
      <c r="C232" s="63"/>
      <c r="D232" s="64"/>
      <c r="E232" s="65"/>
      <c r="F232" s="65"/>
      <c r="G232" s="66"/>
      <c r="H232" s="67"/>
      <c r="I232" s="67"/>
      <c r="J232" s="67"/>
      <c r="K232" s="67"/>
      <c r="L232" s="67"/>
      <c r="M232" s="62"/>
      <c r="N232" s="62"/>
    </row>
    <row r="233" spans="1:14" x14ac:dyDescent="0.3">
      <c r="A233" s="62"/>
      <c r="B233" s="62"/>
      <c r="C233" s="63"/>
      <c r="D233" s="64"/>
      <c r="E233" s="65"/>
      <c r="F233" s="65"/>
      <c r="G233" s="66"/>
      <c r="H233" s="67"/>
      <c r="I233" s="67"/>
      <c r="J233" s="67"/>
      <c r="K233" s="67"/>
      <c r="L233" s="67"/>
      <c r="M233" s="62"/>
      <c r="N233" s="62"/>
    </row>
    <row r="234" spans="1:14" x14ac:dyDescent="0.3">
      <c r="A234" s="62"/>
      <c r="B234" s="62"/>
      <c r="C234" s="63"/>
      <c r="D234" s="64"/>
      <c r="E234" s="65"/>
      <c r="F234" s="65"/>
      <c r="G234" s="66"/>
      <c r="H234" s="67"/>
      <c r="I234" s="67"/>
      <c r="J234" s="67"/>
      <c r="K234" s="67"/>
      <c r="L234" s="67"/>
      <c r="M234" s="62"/>
      <c r="N234" s="62"/>
    </row>
    <row r="235" spans="1:14" x14ac:dyDescent="0.3">
      <c r="A235" s="62"/>
      <c r="B235" s="62"/>
      <c r="C235" s="63"/>
      <c r="D235" s="64"/>
      <c r="E235" s="65"/>
      <c r="F235" s="65"/>
      <c r="G235" s="66"/>
      <c r="H235" s="67"/>
      <c r="I235" s="67"/>
      <c r="J235" s="67"/>
      <c r="K235" s="67"/>
      <c r="L235" s="67"/>
      <c r="M235" s="62"/>
      <c r="N235" s="62"/>
    </row>
    <row r="236" spans="1:14" x14ac:dyDescent="0.3">
      <c r="A236" s="62"/>
      <c r="B236" s="62"/>
      <c r="C236" s="63"/>
      <c r="D236" s="64"/>
      <c r="E236" s="65"/>
      <c r="F236" s="65"/>
      <c r="G236" s="66"/>
      <c r="H236" s="67"/>
      <c r="I236" s="67"/>
      <c r="J236" s="67"/>
      <c r="K236" s="67"/>
      <c r="L236" s="67"/>
      <c r="M236" s="62"/>
      <c r="N236" s="62"/>
    </row>
    <row r="237" spans="1:14" x14ac:dyDescent="0.3">
      <c r="A237" s="62"/>
      <c r="B237" s="62"/>
      <c r="C237" s="63"/>
      <c r="D237" s="64"/>
      <c r="E237" s="65"/>
      <c r="F237" s="65"/>
      <c r="G237" s="66"/>
      <c r="H237" s="67"/>
      <c r="I237" s="67"/>
      <c r="J237" s="67"/>
      <c r="K237" s="67"/>
      <c r="L237" s="67"/>
      <c r="M237" s="62"/>
      <c r="N237" s="62"/>
    </row>
    <row r="238" spans="1:14" x14ac:dyDescent="0.3">
      <c r="A238" s="62"/>
      <c r="B238" s="62"/>
      <c r="C238" s="63"/>
      <c r="D238" s="64"/>
      <c r="E238" s="65"/>
      <c r="F238" s="65"/>
      <c r="G238" s="66"/>
      <c r="H238" s="67"/>
      <c r="I238" s="67"/>
      <c r="J238" s="67"/>
      <c r="K238" s="67"/>
      <c r="L238" s="67"/>
      <c r="M238" s="62"/>
      <c r="N238" s="62"/>
    </row>
    <row r="239" spans="1:14" x14ac:dyDescent="0.3">
      <c r="A239" s="62"/>
      <c r="B239" s="62"/>
      <c r="C239" s="63"/>
      <c r="D239" s="64"/>
      <c r="E239" s="65"/>
      <c r="F239" s="65"/>
      <c r="G239" s="66"/>
      <c r="H239" s="67"/>
      <c r="I239" s="67"/>
      <c r="J239" s="67"/>
      <c r="K239" s="67"/>
      <c r="L239" s="67"/>
      <c r="M239" s="62"/>
      <c r="N239" s="62"/>
    </row>
    <row r="240" spans="1:14" x14ac:dyDescent="0.3">
      <c r="A240" s="62"/>
      <c r="B240" s="62"/>
      <c r="C240" s="63"/>
      <c r="D240" s="64"/>
      <c r="E240" s="65"/>
      <c r="F240" s="65"/>
      <c r="G240" s="66"/>
      <c r="H240" s="67"/>
      <c r="I240" s="67"/>
      <c r="J240" s="67"/>
      <c r="K240" s="67"/>
      <c r="L240" s="67"/>
      <c r="M240" s="62"/>
      <c r="N240" s="62"/>
    </row>
    <row r="241" spans="1:14" x14ac:dyDescent="0.3">
      <c r="A241" s="62"/>
      <c r="B241" s="62"/>
      <c r="C241" s="63"/>
      <c r="D241" s="64"/>
      <c r="E241" s="65"/>
      <c r="F241" s="65"/>
      <c r="G241" s="66"/>
      <c r="H241" s="67"/>
      <c r="I241" s="67"/>
      <c r="J241" s="67"/>
      <c r="K241" s="67"/>
      <c r="L241" s="67"/>
      <c r="M241" s="62"/>
      <c r="N241" s="62"/>
    </row>
    <row r="242" spans="1:14" x14ac:dyDescent="0.3">
      <c r="A242" s="62"/>
      <c r="B242" s="62"/>
      <c r="C242" s="63"/>
      <c r="D242" s="64"/>
      <c r="E242" s="65"/>
      <c r="F242" s="65"/>
      <c r="G242" s="66"/>
      <c r="H242" s="67"/>
      <c r="I242" s="67"/>
      <c r="J242" s="67"/>
      <c r="K242" s="67"/>
      <c r="L242" s="67"/>
      <c r="M242" s="62"/>
      <c r="N242" s="62"/>
    </row>
    <row r="243" spans="1:14" x14ac:dyDescent="0.3">
      <c r="A243" s="62"/>
      <c r="B243" s="62"/>
      <c r="C243" s="63"/>
      <c r="D243" s="64"/>
      <c r="E243" s="65"/>
      <c r="F243" s="65"/>
      <c r="G243" s="66"/>
      <c r="H243" s="67"/>
      <c r="I243" s="67"/>
      <c r="J243" s="67"/>
      <c r="K243" s="67"/>
      <c r="L243" s="67"/>
      <c r="M243" s="62"/>
      <c r="N243" s="62"/>
    </row>
    <row r="244" spans="1:14" x14ac:dyDescent="0.3">
      <c r="A244" s="62"/>
      <c r="B244" s="62"/>
      <c r="C244" s="63"/>
      <c r="D244" s="64"/>
      <c r="E244" s="65"/>
      <c r="F244" s="65"/>
      <c r="G244" s="66"/>
      <c r="H244" s="67"/>
      <c r="I244" s="67"/>
      <c r="J244" s="67"/>
      <c r="K244" s="67"/>
      <c r="L244" s="67"/>
      <c r="M244" s="62"/>
      <c r="N244" s="62"/>
    </row>
    <row r="245" spans="1:14" x14ac:dyDescent="0.3">
      <c r="A245" s="62"/>
      <c r="B245" s="62"/>
      <c r="C245" s="63"/>
      <c r="D245" s="64"/>
      <c r="E245" s="65"/>
      <c r="F245" s="65"/>
      <c r="G245" s="66"/>
      <c r="H245" s="67"/>
      <c r="I245" s="67"/>
      <c r="J245" s="67"/>
      <c r="K245" s="67"/>
      <c r="L245" s="67"/>
      <c r="M245" s="62"/>
      <c r="N245" s="62"/>
    </row>
    <row r="246" spans="1:14" x14ac:dyDescent="0.3">
      <c r="A246" s="62"/>
      <c r="B246" s="62"/>
      <c r="C246" s="63"/>
      <c r="D246" s="64"/>
      <c r="E246" s="65"/>
      <c r="F246" s="65"/>
      <c r="G246" s="66"/>
      <c r="H246" s="67"/>
      <c r="I246" s="67"/>
      <c r="J246" s="67"/>
      <c r="K246" s="67"/>
      <c r="L246" s="67"/>
      <c r="M246" s="62"/>
      <c r="N246" s="62"/>
    </row>
    <row r="247" spans="1:14" x14ac:dyDescent="0.3">
      <c r="A247" s="62"/>
      <c r="B247" s="62"/>
      <c r="C247" s="63"/>
      <c r="D247" s="64"/>
      <c r="E247" s="65"/>
      <c r="F247" s="65"/>
      <c r="G247" s="66"/>
      <c r="H247" s="67"/>
      <c r="I247" s="67"/>
      <c r="J247" s="67"/>
      <c r="K247" s="67"/>
      <c r="L247" s="67"/>
      <c r="M247" s="62"/>
      <c r="N247" s="62"/>
    </row>
    <row r="248" spans="1:14" x14ac:dyDescent="0.3">
      <c r="A248" s="62"/>
      <c r="B248" s="62"/>
      <c r="C248" s="63"/>
      <c r="D248" s="64"/>
      <c r="E248" s="65"/>
      <c r="F248" s="65"/>
      <c r="G248" s="66"/>
      <c r="H248" s="67"/>
      <c r="I248" s="67"/>
      <c r="J248" s="67"/>
      <c r="K248" s="67"/>
      <c r="L248" s="67"/>
      <c r="M248" s="62"/>
      <c r="N248" s="62"/>
    </row>
    <row r="249" spans="1:14" x14ac:dyDescent="0.3">
      <c r="A249" s="62"/>
      <c r="B249" s="62"/>
      <c r="C249" s="63"/>
      <c r="D249" s="64"/>
      <c r="E249" s="65"/>
      <c r="F249" s="65"/>
      <c r="G249" s="66"/>
      <c r="H249" s="67"/>
      <c r="I249" s="67"/>
      <c r="J249" s="67"/>
      <c r="K249" s="67"/>
      <c r="L249" s="67"/>
      <c r="M249" s="62"/>
      <c r="N249" s="62"/>
    </row>
    <row r="250" spans="1:14" x14ac:dyDescent="0.3">
      <c r="A250" s="62"/>
      <c r="B250" s="62"/>
      <c r="C250" s="63"/>
      <c r="D250" s="64"/>
      <c r="E250" s="65"/>
      <c r="F250" s="65"/>
      <c r="G250" s="66"/>
      <c r="H250" s="67"/>
      <c r="I250" s="67"/>
      <c r="J250" s="67"/>
      <c r="K250" s="67"/>
      <c r="L250" s="67"/>
      <c r="M250" s="62"/>
      <c r="N250" s="62"/>
    </row>
    <row r="251" spans="1:14" x14ac:dyDescent="0.3">
      <c r="A251" s="62"/>
      <c r="B251" s="62"/>
      <c r="C251" s="63"/>
      <c r="D251" s="64"/>
      <c r="E251" s="65"/>
      <c r="F251" s="65"/>
      <c r="G251" s="66"/>
      <c r="H251" s="67"/>
      <c r="I251" s="67"/>
      <c r="J251" s="67"/>
      <c r="K251" s="67"/>
      <c r="L251" s="67"/>
      <c r="M251" s="62"/>
      <c r="N251" s="62"/>
    </row>
    <row r="252" spans="1:14" x14ac:dyDescent="0.3">
      <c r="A252" s="62"/>
      <c r="B252" s="62"/>
      <c r="C252" s="63"/>
      <c r="D252" s="64"/>
      <c r="E252" s="65"/>
      <c r="F252" s="65"/>
      <c r="G252" s="66"/>
      <c r="H252" s="67"/>
      <c r="I252" s="67"/>
      <c r="J252" s="67"/>
      <c r="K252" s="67"/>
      <c r="L252" s="67"/>
      <c r="M252" s="62"/>
      <c r="N252" s="62"/>
    </row>
    <row r="253" spans="1:14" s="52" customFormat="1" x14ac:dyDescent="0.3">
      <c r="A253" s="62"/>
      <c r="B253" s="62"/>
      <c r="C253" s="63"/>
      <c r="D253" s="64"/>
      <c r="E253" s="65"/>
      <c r="F253" s="65"/>
      <c r="G253" s="66"/>
      <c r="H253" s="67"/>
      <c r="I253" s="67"/>
      <c r="J253" s="67"/>
      <c r="K253" s="67"/>
      <c r="L253" s="67"/>
      <c r="M253" s="62"/>
      <c r="N253" s="62"/>
    </row>
    <row r="254" spans="1:14" s="52" customFormat="1" x14ac:dyDescent="0.3">
      <c r="A254" s="62"/>
      <c r="B254" s="62"/>
      <c r="C254" s="63"/>
      <c r="D254" s="64"/>
      <c r="E254" s="65"/>
      <c r="F254" s="65"/>
      <c r="G254" s="66"/>
      <c r="H254" s="67"/>
      <c r="I254" s="67"/>
      <c r="J254" s="67"/>
      <c r="K254" s="67"/>
      <c r="L254" s="67"/>
      <c r="M254" s="62"/>
      <c r="N254" s="62"/>
    </row>
    <row r="255" spans="1:14" s="52" customFormat="1" x14ac:dyDescent="0.3">
      <c r="A255" s="62"/>
      <c r="B255" s="62"/>
      <c r="C255" s="63"/>
      <c r="D255" s="64"/>
      <c r="E255" s="65"/>
      <c r="F255" s="65"/>
      <c r="G255" s="66"/>
      <c r="H255" s="67"/>
      <c r="I255" s="67"/>
      <c r="J255" s="67"/>
      <c r="K255" s="67"/>
      <c r="L255" s="67"/>
      <c r="M255" s="62"/>
      <c r="N255" s="62"/>
    </row>
    <row r="256" spans="1:14" s="52" customFormat="1" x14ac:dyDescent="0.3">
      <c r="A256" s="62"/>
      <c r="B256" s="62"/>
      <c r="C256" s="63"/>
      <c r="D256" s="64"/>
      <c r="E256" s="65"/>
      <c r="F256" s="65"/>
      <c r="G256" s="66"/>
      <c r="H256" s="67"/>
      <c r="I256" s="67"/>
      <c r="J256" s="67"/>
      <c r="K256" s="67"/>
      <c r="L256" s="67"/>
      <c r="M256" s="62"/>
      <c r="N256" s="62"/>
    </row>
    <row r="257" spans="1:14" s="52" customFormat="1" x14ac:dyDescent="0.3">
      <c r="A257" s="62"/>
      <c r="B257" s="62"/>
      <c r="C257" s="63"/>
      <c r="D257" s="64"/>
      <c r="E257" s="65"/>
      <c r="F257" s="65"/>
      <c r="G257" s="66"/>
      <c r="H257" s="67"/>
      <c r="I257" s="67"/>
      <c r="J257" s="67"/>
      <c r="K257" s="67"/>
      <c r="L257" s="67"/>
      <c r="M257" s="62"/>
      <c r="N257" s="62"/>
    </row>
    <row r="258" spans="1:14" s="52" customFormat="1" x14ac:dyDescent="0.3">
      <c r="A258" s="62"/>
      <c r="B258" s="62"/>
      <c r="C258" s="63"/>
      <c r="D258" s="64"/>
      <c r="E258" s="65"/>
      <c r="F258" s="65"/>
      <c r="G258" s="66"/>
      <c r="H258" s="67"/>
      <c r="I258" s="67"/>
      <c r="J258" s="67"/>
      <c r="K258" s="67"/>
      <c r="L258" s="67"/>
      <c r="M258" s="62"/>
      <c r="N258" s="62"/>
    </row>
    <row r="259" spans="1:14" s="52" customFormat="1" x14ac:dyDescent="0.3">
      <c r="A259" s="62"/>
      <c r="B259" s="62"/>
      <c r="C259" s="63"/>
      <c r="D259" s="64"/>
      <c r="E259" s="65"/>
      <c r="F259" s="65"/>
      <c r="G259" s="66"/>
      <c r="H259" s="67"/>
      <c r="I259" s="67"/>
      <c r="J259" s="67"/>
      <c r="K259" s="67"/>
      <c r="L259" s="67"/>
      <c r="M259" s="62"/>
      <c r="N259" s="62"/>
    </row>
    <row r="260" spans="1:14" s="52" customFormat="1" x14ac:dyDescent="0.3">
      <c r="A260" s="62"/>
      <c r="B260" s="62"/>
      <c r="C260" s="63"/>
      <c r="D260" s="64"/>
      <c r="E260" s="65"/>
      <c r="F260" s="65"/>
      <c r="G260" s="66"/>
      <c r="H260" s="67"/>
      <c r="I260" s="67"/>
      <c r="J260" s="67"/>
      <c r="K260" s="67"/>
      <c r="L260" s="67"/>
      <c r="M260" s="62"/>
      <c r="N260" s="62"/>
    </row>
    <row r="261" spans="1:14" s="52" customFormat="1" x14ac:dyDescent="0.3">
      <c r="A261" s="62"/>
      <c r="B261" s="62"/>
      <c r="C261" s="63"/>
      <c r="D261" s="64"/>
      <c r="E261" s="65"/>
      <c r="F261" s="65"/>
      <c r="G261" s="66"/>
      <c r="H261" s="67"/>
      <c r="I261" s="67"/>
      <c r="J261" s="67"/>
      <c r="K261" s="67"/>
      <c r="L261" s="67"/>
      <c r="M261" s="62"/>
      <c r="N261" s="62"/>
    </row>
    <row r="262" spans="1:14" s="52" customFormat="1" x14ac:dyDescent="0.3">
      <c r="A262" s="62"/>
      <c r="B262" s="62"/>
      <c r="C262" s="63"/>
      <c r="D262" s="64"/>
      <c r="E262" s="65"/>
      <c r="F262" s="65"/>
      <c r="G262" s="66"/>
      <c r="H262" s="67"/>
      <c r="I262" s="67"/>
      <c r="J262" s="67"/>
      <c r="K262" s="67"/>
      <c r="L262" s="67"/>
      <c r="M262" s="62"/>
      <c r="N262" s="62"/>
    </row>
    <row r="263" spans="1:14" s="52" customFormat="1" x14ac:dyDescent="0.3">
      <c r="A263" s="62"/>
      <c r="B263" s="62"/>
      <c r="C263" s="63"/>
      <c r="D263" s="64"/>
      <c r="E263" s="65"/>
      <c r="F263" s="65"/>
      <c r="G263" s="66"/>
      <c r="H263" s="67"/>
      <c r="I263" s="67"/>
      <c r="J263" s="67"/>
      <c r="K263" s="67"/>
      <c r="L263" s="67"/>
      <c r="M263" s="62"/>
      <c r="N263" s="62"/>
    </row>
    <row r="264" spans="1:14" s="52" customFormat="1" x14ac:dyDescent="0.3">
      <c r="A264" s="62"/>
      <c r="B264" s="62"/>
      <c r="C264" s="63"/>
      <c r="D264" s="64"/>
      <c r="E264" s="65"/>
      <c r="F264" s="65"/>
      <c r="G264" s="66"/>
      <c r="H264" s="67"/>
      <c r="I264" s="67"/>
      <c r="J264" s="67"/>
      <c r="K264" s="67"/>
      <c r="L264" s="67"/>
      <c r="M264" s="62"/>
      <c r="N264" s="62"/>
    </row>
    <row r="265" spans="1:14" s="52" customFormat="1" x14ac:dyDescent="0.3">
      <c r="A265" s="62"/>
      <c r="B265" s="62"/>
      <c r="C265" s="63"/>
      <c r="D265" s="64"/>
      <c r="E265" s="65"/>
      <c r="F265" s="65"/>
      <c r="G265" s="66"/>
      <c r="H265" s="67"/>
      <c r="I265" s="67"/>
      <c r="J265" s="67"/>
      <c r="K265" s="67"/>
      <c r="L265" s="67"/>
      <c r="M265" s="62"/>
      <c r="N265" s="62"/>
    </row>
    <row r="266" spans="1:14" s="52" customFormat="1" x14ac:dyDescent="0.3">
      <c r="A266" s="62"/>
      <c r="B266" s="62"/>
      <c r="C266" s="63"/>
      <c r="D266" s="64"/>
      <c r="E266" s="65"/>
      <c r="F266" s="65"/>
      <c r="G266" s="66"/>
      <c r="H266" s="67"/>
      <c r="I266" s="67"/>
      <c r="J266" s="67"/>
      <c r="K266" s="67"/>
      <c r="L266" s="67"/>
      <c r="M266" s="62"/>
      <c r="N266" s="62"/>
    </row>
    <row r="267" spans="1:14" s="52" customFormat="1" x14ac:dyDescent="0.3">
      <c r="A267" s="62"/>
      <c r="B267" s="62"/>
      <c r="C267" s="63"/>
      <c r="D267" s="64"/>
      <c r="E267" s="65"/>
      <c r="F267" s="65"/>
      <c r="G267" s="66"/>
      <c r="H267" s="67"/>
      <c r="I267" s="67"/>
      <c r="J267" s="67"/>
      <c r="K267" s="67"/>
      <c r="L267" s="67"/>
      <c r="M267" s="62"/>
      <c r="N267" s="62"/>
    </row>
    <row r="268" spans="1:14" s="52" customFormat="1" x14ac:dyDescent="0.3">
      <c r="A268" s="62"/>
      <c r="B268" s="62"/>
      <c r="C268" s="63"/>
      <c r="D268" s="64"/>
      <c r="E268" s="65"/>
      <c r="F268" s="65"/>
      <c r="G268" s="66"/>
      <c r="H268" s="67"/>
      <c r="I268" s="67"/>
      <c r="J268" s="67"/>
      <c r="K268" s="67"/>
      <c r="L268" s="67"/>
      <c r="M268" s="62"/>
      <c r="N268" s="62"/>
    </row>
    <row r="269" spans="1:14" s="52" customFormat="1" x14ac:dyDescent="0.3">
      <c r="A269" s="62"/>
      <c r="B269" s="62"/>
      <c r="C269" s="63"/>
      <c r="D269" s="64"/>
      <c r="E269" s="65"/>
      <c r="F269" s="65"/>
      <c r="G269" s="66"/>
      <c r="H269" s="67"/>
      <c r="I269" s="67"/>
      <c r="J269" s="67"/>
      <c r="K269" s="67"/>
      <c r="L269" s="67"/>
      <c r="M269" s="62"/>
      <c r="N269" s="62"/>
    </row>
    <row r="270" spans="1:14" s="52" customFormat="1" x14ac:dyDescent="0.3">
      <c r="A270" s="62"/>
      <c r="B270" s="62"/>
      <c r="C270" s="63"/>
      <c r="D270" s="64"/>
      <c r="E270" s="65"/>
      <c r="F270" s="65"/>
      <c r="G270" s="66"/>
      <c r="H270" s="67"/>
      <c r="I270" s="67"/>
      <c r="J270" s="67"/>
      <c r="K270" s="67"/>
      <c r="L270" s="67"/>
      <c r="M270" s="62"/>
      <c r="N270" s="62"/>
    </row>
    <row r="271" spans="1:14" s="52" customFormat="1" x14ac:dyDescent="0.3">
      <c r="A271" s="62"/>
      <c r="B271" s="62"/>
      <c r="C271" s="63"/>
      <c r="D271" s="64"/>
      <c r="E271" s="65"/>
      <c r="F271" s="65"/>
      <c r="G271" s="66"/>
      <c r="H271" s="67"/>
      <c r="I271" s="67"/>
      <c r="J271" s="67"/>
      <c r="K271" s="67"/>
      <c r="L271" s="67"/>
      <c r="M271" s="62"/>
      <c r="N271" s="62"/>
    </row>
    <row r="272" spans="1:14" s="52" customFormat="1" x14ac:dyDescent="0.3">
      <c r="A272" s="62"/>
      <c r="B272" s="62"/>
      <c r="C272" s="63"/>
      <c r="D272" s="64"/>
      <c r="E272" s="65"/>
      <c r="F272" s="65"/>
      <c r="G272" s="66"/>
      <c r="H272" s="67"/>
      <c r="I272" s="67"/>
      <c r="J272" s="67"/>
      <c r="K272" s="67"/>
      <c r="L272" s="67"/>
      <c r="M272" s="62"/>
      <c r="N272" s="62"/>
    </row>
    <row r="273" spans="1:14" s="52" customFormat="1" x14ac:dyDescent="0.3">
      <c r="A273" s="62"/>
      <c r="B273" s="62"/>
      <c r="C273" s="63"/>
      <c r="D273" s="64"/>
      <c r="E273" s="65"/>
      <c r="F273" s="65"/>
      <c r="G273" s="66"/>
      <c r="H273" s="67"/>
      <c r="I273" s="67"/>
      <c r="J273" s="67"/>
      <c r="K273" s="67"/>
      <c r="L273" s="67"/>
      <c r="M273" s="62"/>
      <c r="N273" s="62"/>
    </row>
    <row r="274" spans="1:14" s="52" customFormat="1" x14ac:dyDescent="0.3">
      <c r="A274" s="62"/>
      <c r="B274" s="62"/>
      <c r="C274" s="63"/>
      <c r="D274" s="64"/>
      <c r="E274" s="65"/>
      <c r="F274" s="65"/>
      <c r="G274" s="66"/>
      <c r="H274" s="67"/>
      <c r="I274" s="67"/>
      <c r="J274" s="67"/>
      <c r="K274" s="67"/>
      <c r="L274" s="67"/>
      <c r="M274" s="62"/>
      <c r="N274" s="62"/>
    </row>
    <row r="275" spans="1:14" s="52" customFormat="1" x14ac:dyDescent="0.3">
      <c r="A275" s="62"/>
      <c r="B275" s="62"/>
      <c r="C275" s="63"/>
      <c r="D275" s="64"/>
      <c r="E275" s="65"/>
      <c r="F275" s="65"/>
      <c r="G275" s="66"/>
      <c r="H275" s="67"/>
      <c r="I275" s="67"/>
      <c r="J275" s="67"/>
      <c r="K275" s="67"/>
      <c r="L275" s="67"/>
      <c r="M275" s="62"/>
      <c r="N275" s="62"/>
    </row>
    <row r="276" spans="1:14" s="52" customFormat="1" x14ac:dyDescent="0.3">
      <c r="A276" s="62"/>
      <c r="B276" s="62"/>
      <c r="C276" s="63"/>
      <c r="D276" s="64"/>
      <c r="E276" s="65"/>
      <c r="F276" s="65"/>
      <c r="G276" s="66"/>
      <c r="H276" s="67"/>
      <c r="I276" s="67"/>
      <c r="J276" s="67"/>
      <c r="K276" s="67"/>
      <c r="L276" s="67"/>
      <c r="M276" s="62"/>
      <c r="N276" s="62"/>
    </row>
    <row r="277" spans="1:14" s="52" customFormat="1" x14ac:dyDescent="0.3">
      <c r="A277" s="62"/>
      <c r="B277" s="62"/>
      <c r="C277" s="63"/>
      <c r="D277" s="64"/>
      <c r="E277" s="65"/>
      <c r="F277" s="65"/>
      <c r="G277" s="66"/>
      <c r="H277" s="67"/>
      <c r="I277" s="67"/>
      <c r="J277" s="67"/>
      <c r="K277" s="67"/>
      <c r="L277" s="67"/>
      <c r="M277" s="62"/>
      <c r="N277" s="62"/>
    </row>
    <row r="278" spans="1:14" s="52" customFormat="1" x14ac:dyDescent="0.3">
      <c r="A278" s="62"/>
      <c r="B278" s="62"/>
      <c r="C278" s="63"/>
      <c r="D278" s="64"/>
      <c r="E278" s="65"/>
      <c r="F278" s="65"/>
      <c r="G278" s="66"/>
      <c r="H278" s="67"/>
      <c r="I278" s="67"/>
      <c r="J278" s="67"/>
      <c r="K278" s="67"/>
      <c r="L278" s="67"/>
      <c r="M278" s="62"/>
      <c r="N278" s="62"/>
    </row>
    <row r="279" spans="1:14" s="52" customFormat="1" x14ac:dyDescent="0.3">
      <c r="A279" s="62"/>
      <c r="B279" s="62"/>
      <c r="C279" s="63"/>
      <c r="D279" s="64"/>
      <c r="E279" s="65"/>
      <c r="F279" s="65"/>
      <c r="G279" s="66"/>
      <c r="H279" s="67"/>
      <c r="I279" s="67"/>
      <c r="J279" s="67"/>
      <c r="K279" s="67"/>
      <c r="L279" s="67"/>
      <c r="M279" s="62"/>
      <c r="N279" s="62"/>
    </row>
    <row r="280" spans="1:14" s="52" customFormat="1" x14ac:dyDescent="0.3">
      <c r="A280" s="62"/>
      <c r="B280" s="62"/>
      <c r="C280" s="63"/>
      <c r="D280" s="64"/>
      <c r="E280" s="65"/>
      <c r="F280" s="65"/>
      <c r="G280" s="66"/>
      <c r="H280" s="67"/>
      <c r="I280" s="67"/>
      <c r="J280" s="67"/>
      <c r="K280" s="67"/>
      <c r="L280" s="67"/>
      <c r="M280" s="62"/>
      <c r="N280" s="62"/>
    </row>
    <row r="281" spans="1:14" s="52" customFormat="1" x14ac:dyDescent="0.3">
      <c r="A281" s="62"/>
      <c r="B281" s="62"/>
      <c r="C281" s="63"/>
      <c r="D281" s="64"/>
      <c r="E281" s="65"/>
      <c r="F281" s="65"/>
      <c r="G281" s="66"/>
      <c r="H281" s="67"/>
      <c r="I281" s="67"/>
      <c r="J281" s="67"/>
      <c r="K281" s="67"/>
      <c r="L281" s="67"/>
      <c r="M281" s="62"/>
      <c r="N281" s="62"/>
    </row>
    <row r="282" spans="1:14" s="52" customFormat="1" x14ac:dyDescent="0.3">
      <c r="A282" s="62"/>
      <c r="B282" s="62"/>
      <c r="C282" s="63"/>
      <c r="D282" s="64"/>
      <c r="E282" s="65"/>
      <c r="F282" s="65"/>
      <c r="G282" s="66"/>
      <c r="H282" s="67"/>
      <c r="I282" s="67"/>
      <c r="J282" s="67"/>
      <c r="K282" s="67"/>
      <c r="L282" s="67"/>
      <c r="M282" s="62"/>
      <c r="N282" s="62"/>
    </row>
    <row r="283" spans="1:14" s="52" customFormat="1" x14ac:dyDescent="0.3">
      <c r="A283" s="62"/>
      <c r="B283" s="62"/>
      <c r="C283" s="63"/>
      <c r="D283" s="64"/>
      <c r="E283" s="65"/>
      <c r="F283" s="65"/>
      <c r="G283" s="66"/>
      <c r="H283" s="67"/>
      <c r="I283" s="67"/>
      <c r="J283" s="67"/>
      <c r="K283" s="67"/>
      <c r="L283" s="67"/>
      <c r="M283" s="62"/>
      <c r="N283" s="62"/>
    </row>
    <row r="284" spans="1:14" s="52" customFormat="1" x14ac:dyDescent="0.3">
      <c r="A284" s="62"/>
      <c r="B284" s="62"/>
      <c r="C284" s="63"/>
      <c r="D284" s="64"/>
      <c r="E284" s="65"/>
      <c r="F284" s="65"/>
      <c r="G284" s="66"/>
      <c r="H284" s="67"/>
      <c r="I284" s="67"/>
      <c r="J284" s="67"/>
      <c r="K284" s="67"/>
      <c r="L284" s="67"/>
      <c r="M284" s="62"/>
      <c r="N284" s="62"/>
    </row>
    <row r="285" spans="1:14" s="52" customFormat="1" x14ac:dyDescent="0.3">
      <c r="A285" s="62"/>
      <c r="B285" s="62"/>
      <c r="C285" s="63"/>
      <c r="D285" s="64"/>
      <c r="E285" s="65"/>
      <c r="F285" s="65"/>
      <c r="G285" s="66"/>
      <c r="H285" s="67"/>
      <c r="I285" s="67"/>
      <c r="J285" s="67"/>
      <c r="K285" s="67"/>
      <c r="L285" s="67"/>
      <c r="M285" s="62"/>
      <c r="N285" s="62"/>
    </row>
    <row r="286" spans="1:14" s="52" customFormat="1" x14ac:dyDescent="0.3">
      <c r="A286" s="62"/>
      <c r="B286" s="62"/>
      <c r="C286" s="63"/>
      <c r="D286" s="64"/>
      <c r="E286" s="65"/>
      <c r="F286" s="65"/>
      <c r="G286" s="66"/>
      <c r="H286" s="67"/>
      <c r="I286" s="67"/>
      <c r="J286" s="67"/>
      <c r="K286" s="67"/>
      <c r="L286" s="67"/>
      <c r="M286" s="62"/>
      <c r="N286" s="62"/>
    </row>
    <row r="287" spans="1:14" s="52" customFormat="1" x14ac:dyDescent="0.3">
      <c r="A287" s="62"/>
      <c r="B287" s="62"/>
      <c r="C287" s="63"/>
      <c r="D287" s="64"/>
      <c r="E287" s="65"/>
      <c r="F287" s="65"/>
      <c r="G287" s="66"/>
      <c r="H287" s="67"/>
      <c r="I287" s="67"/>
      <c r="J287" s="67"/>
      <c r="K287" s="67"/>
      <c r="L287" s="67"/>
      <c r="M287" s="62"/>
      <c r="N287" s="62"/>
    </row>
    <row r="288" spans="1:14" s="52" customFormat="1" x14ac:dyDescent="0.3">
      <c r="A288" s="62"/>
      <c r="B288" s="62"/>
      <c r="C288" s="63"/>
      <c r="D288" s="64"/>
      <c r="E288" s="65"/>
      <c r="F288" s="65"/>
      <c r="G288" s="66"/>
      <c r="H288" s="67"/>
      <c r="I288" s="67"/>
      <c r="J288" s="67"/>
      <c r="K288" s="67"/>
      <c r="L288" s="67"/>
      <c r="M288" s="62"/>
      <c r="N288" s="62"/>
    </row>
    <row r="289" spans="1:14" s="52" customFormat="1" x14ac:dyDescent="0.3">
      <c r="A289" s="62"/>
      <c r="B289" s="62"/>
      <c r="C289" s="63"/>
      <c r="D289" s="64"/>
      <c r="E289" s="65"/>
      <c r="F289" s="65"/>
      <c r="G289" s="66"/>
      <c r="H289" s="67"/>
      <c r="I289" s="67"/>
      <c r="J289" s="67"/>
      <c r="K289" s="67"/>
      <c r="L289" s="67"/>
      <c r="M289" s="62"/>
      <c r="N289" s="62"/>
    </row>
    <row r="290" spans="1:14" s="52" customFormat="1" x14ac:dyDescent="0.3">
      <c r="A290" s="62"/>
      <c r="B290" s="62"/>
      <c r="C290" s="63"/>
      <c r="D290" s="64"/>
      <c r="E290" s="65"/>
      <c r="F290" s="65"/>
      <c r="G290" s="66"/>
      <c r="H290" s="67"/>
      <c r="I290" s="67"/>
      <c r="J290" s="67"/>
      <c r="K290" s="67"/>
      <c r="L290" s="67"/>
      <c r="M290" s="62"/>
      <c r="N290" s="62"/>
    </row>
    <row r="291" spans="1:14" s="52" customFormat="1" x14ac:dyDescent="0.3">
      <c r="A291" s="62"/>
      <c r="B291" s="62"/>
      <c r="C291" s="63"/>
      <c r="D291" s="64"/>
      <c r="E291" s="65"/>
      <c r="F291" s="65"/>
      <c r="G291" s="66"/>
      <c r="H291" s="67"/>
      <c r="I291" s="67"/>
      <c r="J291" s="67"/>
      <c r="K291" s="67"/>
      <c r="L291" s="67"/>
      <c r="M291" s="62"/>
      <c r="N291" s="62"/>
    </row>
    <row r="292" spans="1:14" s="52" customFormat="1" x14ac:dyDescent="0.3">
      <c r="A292" s="62"/>
      <c r="B292" s="62"/>
      <c r="C292" s="63"/>
      <c r="D292" s="64"/>
      <c r="E292" s="65"/>
      <c r="F292" s="65"/>
      <c r="G292" s="66"/>
      <c r="H292" s="67"/>
      <c r="I292" s="67"/>
      <c r="J292" s="67"/>
      <c r="K292" s="67"/>
      <c r="L292" s="67"/>
      <c r="M292" s="62"/>
      <c r="N292" s="62"/>
    </row>
    <row r="293" spans="1:14" s="52" customFormat="1" x14ac:dyDescent="0.3">
      <c r="A293" s="62"/>
      <c r="B293" s="62"/>
      <c r="C293" s="63"/>
      <c r="D293" s="64"/>
      <c r="E293" s="65"/>
      <c r="F293" s="65"/>
      <c r="G293" s="66"/>
      <c r="H293" s="67"/>
      <c r="I293" s="67"/>
      <c r="J293" s="67"/>
      <c r="K293" s="67"/>
      <c r="L293" s="67"/>
      <c r="M293" s="62"/>
      <c r="N293" s="62"/>
    </row>
    <row r="294" spans="1:14" s="52" customFormat="1" x14ac:dyDescent="0.3">
      <c r="A294" s="62"/>
      <c r="B294" s="62"/>
      <c r="C294" s="63"/>
      <c r="D294" s="64"/>
      <c r="E294" s="65"/>
      <c r="F294" s="65"/>
      <c r="G294" s="66"/>
      <c r="H294" s="67"/>
      <c r="I294" s="67"/>
      <c r="J294" s="67"/>
      <c r="K294" s="67"/>
      <c r="L294" s="67"/>
      <c r="M294" s="62"/>
      <c r="N294" s="62"/>
    </row>
    <row r="295" spans="1:14" s="52" customFormat="1" x14ac:dyDescent="0.3">
      <c r="A295" s="62"/>
      <c r="B295" s="62"/>
      <c r="C295" s="63"/>
      <c r="D295" s="64"/>
      <c r="E295" s="65"/>
      <c r="F295" s="65"/>
      <c r="G295" s="66"/>
      <c r="H295" s="67"/>
      <c r="I295" s="67"/>
      <c r="J295" s="67"/>
      <c r="K295" s="67"/>
      <c r="L295" s="67"/>
      <c r="M295" s="62"/>
      <c r="N295" s="62"/>
    </row>
    <row r="296" spans="1:14" s="52" customFormat="1" x14ac:dyDescent="0.3">
      <c r="A296" s="62"/>
      <c r="B296" s="62"/>
      <c r="C296" s="63"/>
      <c r="D296" s="64"/>
      <c r="E296" s="65"/>
      <c r="F296" s="65"/>
      <c r="G296" s="66"/>
      <c r="H296" s="67"/>
      <c r="I296" s="67"/>
      <c r="J296" s="67"/>
      <c r="K296" s="67"/>
      <c r="L296" s="67"/>
      <c r="M296" s="62"/>
      <c r="N296" s="62"/>
    </row>
    <row r="297" spans="1:14" s="52" customFormat="1" x14ac:dyDescent="0.3">
      <c r="A297" s="62"/>
      <c r="B297" s="62"/>
      <c r="C297" s="63"/>
      <c r="D297" s="64"/>
      <c r="E297" s="65"/>
      <c r="F297" s="65"/>
      <c r="G297" s="66"/>
      <c r="H297" s="67"/>
      <c r="I297" s="67"/>
      <c r="J297" s="67"/>
      <c r="K297" s="67"/>
      <c r="L297" s="67"/>
      <c r="M297" s="62"/>
      <c r="N297" s="62"/>
    </row>
    <row r="298" spans="1:14" s="52" customFormat="1" x14ac:dyDescent="0.3">
      <c r="A298" s="62"/>
      <c r="B298" s="62"/>
      <c r="C298" s="63"/>
      <c r="D298" s="64"/>
      <c r="E298" s="65"/>
      <c r="F298" s="65"/>
      <c r="G298" s="66"/>
      <c r="H298" s="67"/>
      <c r="I298" s="67"/>
      <c r="J298" s="67"/>
      <c r="K298" s="67"/>
      <c r="L298" s="67"/>
      <c r="M298" s="62"/>
      <c r="N298" s="62"/>
    </row>
    <row r="299" spans="1:14" s="52" customFormat="1" x14ac:dyDescent="0.3">
      <c r="A299" s="62"/>
      <c r="B299" s="62"/>
      <c r="C299" s="63"/>
      <c r="D299" s="64"/>
      <c r="E299" s="65"/>
      <c r="F299" s="65"/>
      <c r="G299" s="66"/>
      <c r="H299" s="67"/>
      <c r="I299" s="67"/>
      <c r="J299" s="67"/>
      <c r="K299" s="67"/>
      <c r="L299" s="67"/>
      <c r="M299" s="62"/>
      <c r="N299" s="62"/>
    </row>
    <row r="300" spans="1:14" s="52" customFormat="1" x14ac:dyDescent="0.3">
      <c r="A300" s="62"/>
      <c r="B300" s="62"/>
      <c r="C300" s="63"/>
      <c r="D300" s="64"/>
      <c r="E300" s="65"/>
      <c r="F300" s="65"/>
      <c r="G300" s="66"/>
      <c r="H300" s="67"/>
      <c r="I300" s="67"/>
      <c r="J300" s="67"/>
      <c r="K300" s="67"/>
      <c r="L300" s="67"/>
      <c r="M300" s="62"/>
      <c r="N300" s="62"/>
    </row>
    <row r="301" spans="1:14" s="52" customFormat="1" x14ac:dyDescent="0.3">
      <c r="A301" s="62"/>
      <c r="B301" s="62"/>
      <c r="C301" s="63"/>
      <c r="D301" s="64"/>
      <c r="E301" s="65"/>
      <c r="F301" s="65"/>
      <c r="G301" s="66"/>
      <c r="H301" s="67"/>
      <c r="I301" s="67"/>
      <c r="J301" s="67"/>
      <c r="K301" s="67"/>
      <c r="L301" s="67"/>
      <c r="M301" s="62"/>
      <c r="N301" s="62"/>
    </row>
    <row r="302" spans="1:14" s="52" customFormat="1" x14ac:dyDescent="0.3">
      <c r="A302" s="62"/>
      <c r="B302" s="62"/>
      <c r="C302" s="63"/>
      <c r="D302" s="64"/>
      <c r="E302" s="65"/>
      <c r="F302" s="65"/>
      <c r="G302" s="66"/>
      <c r="H302" s="67"/>
      <c r="I302" s="67"/>
      <c r="J302" s="67"/>
      <c r="K302" s="67"/>
      <c r="L302" s="67"/>
      <c r="M302" s="62"/>
      <c r="N302" s="62"/>
    </row>
    <row r="303" spans="1:14" s="52" customFormat="1" x14ac:dyDescent="0.3">
      <c r="A303" s="62"/>
      <c r="B303" s="62"/>
      <c r="C303" s="63"/>
      <c r="D303" s="64"/>
      <c r="E303" s="65"/>
      <c r="F303" s="65"/>
      <c r="G303" s="66"/>
      <c r="H303" s="67"/>
      <c r="I303" s="67"/>
      <c r="J303" s="67"/>
      <c r="K303" s="67"/>
      <c r="L303" s="67"/>
      <c r="M303" s="62"/>
      <c r="N303" s="62"/>
    </row>
    <row r="304" spans="1:14" s="52" customFormat="1" x14ac:dyDescent="0.3">
      <c r="A304" s="62"/>
      <c r="B304" s="62"/>
      <c r="C304" s="63"/>
      <c r="D304" s="64"/>
      <c r="E304" s="65"/>
      <c r="F304" s="65"/>
      <c r="G304" s="66"/>
      <c r="H304" s="67"/>
      <c r="I304" s="67"/>
      <c r="J304" s="67"/>
      <c r="K304" s="67"/>
      <c r="L304" s="67"/>
      <c r="M304" s="62"/>
      <c r="N304" s="62"/>
    </row>
    <row r="305" spans="1:14" s="52" customFormat="1" x14ac:dyDescent="0.3">
      <c r="A305" s="62"/>
      <c r="B305" s="62"/>
      <c r="C305" s="63"/>
      <c r="D305" s="64"/>
      <c r="E305" s="65"/>
      <c r="F305" s="65"/>
      <c r="G305" s="66"/>
      <c r="H305" s="67"/>
      <c r="I305" s="67"/>
      <c r="J305" s="67"/>
      <c r="K305" s="67"/>
      <c r="L305" s="67"/>
      <c r="M305" s="62"/>
      <c r="N305" s="62"/>
    </row>
    <row r="306" spans="1:14" s="52" customFormat="1" x14ac:dyDescent="0.3">
      <c r="A306" s="62"/>
      <c r="B306" s="62"/>
      <c r="C306" s="63"/>
      <c r="D306" s="64"/>
      <c r="E306" s="65"/>
      <c r="F306" s="65"/>
      <c r="G306" s="66"/>
      <c r="H306" s="67"/>
      <c r="I306" s="67"/>
      <c r="J306" s="67"/>
      <c r="K306" s="67"/>
      <c r="L306" s="67"/>
      <c r="M306" s="62"/>
      <c r="N306" s="62"/>
    </row>
    <row r="307" spans="1:14" x14ac:dyDescent="0.3">
      <c r="A307" s="62"/>
      <c r="B307" s="62"/>
      <c r="C307" s="63"/>
      <c r="D307" s="64"/>
      <c r="E307" s="65"/>
      <c r="F307" s="65"/>
      <c r="G307" s="66"/>
      <c r="H307" s="67"/>
      <c r="I307" s="67"/>
      <c r="J307" s="67"/>
      <c r="K307" s="67"/>
      <c r="L307" s="67"/>
      <c r="M307" s="62"/>
      <c r="N307" s="62"/>
    </row>
    <row r="308" spans="1:14" x14ac:dyDescent="0.3">
      <c r="A308" s="62"/>
      <c r="B308" s="62"/>
      <c r="C308" s="63"/>
      <c r="D308" s="64"/>
      <c r="E308" s="65"/>
      <c r="F308" s="65"/>
      <c r="G308" s="66"/>
      <c r="H308" s="67"/>
      <c r="I308" s="67"/>
      <c r="J308" s="67"/>
      <c r="K308" s="67"/>
      <c r="L308" s="67"/>
      <c r="M308" s="62"/>
      <c r="N308" s="62"/>
    </row>
    <row r="309" spans="1:14" x14ac:dyDescent="0.3">
      <c r="A309" s="62"/>
      <c r="B309" s="62"/>
      <c r="C309" s="63"/>
      <c r="D309" s="64"/>
      <c r="E309" s="65"/>
      <c r="F309" s="65"/>
      <c r="G309" s="66"/>
      <c r="H309" s="67"/>
      <c r="I309" s="67"/>
      <c r="J309" s="67"/>
      <c r="K309" s="67"/>
      <c r="L309" s="67"/>
      <c r="M309" s="62"/>
      <c r="N309" s="62"/>
    </row>
    <row r="310" spans="1:14" x14ac:dyDescent="0.3">
      <c r="A310" s="62"/>
      <c r="B310" s="62"/>
      <c r="C310" s="63"/>
      <c r="D310" s="64"/>
      <c r="E310" s="65"/>
      <c r="F310" s="65"/>
      <c r="G310" s="66"/>
      <c r="H310" s="67"/>
      <c r="I310" s="67"/>
      <c r="J310" s="67"/>
      <c r="K310" s="67"/>
      <c r="L310" s="67"/>
      <c r="M310" s="62"/>
      <c r="N310" s="62"/>
    </row>
    <row r="311" spans="1:14" x14ac:dyDescent="0.3">
      <c r="A311" s="62"/>
      <c r="B311" s="62"/>
      <c r="C311" s="63"/>
      <c r="D311" s="64"/>
      <c r="E311" s="65"/>
      <c r="F311" s="65"/>
      <c r="G311" s="66"/>
      <c r="H311" s="67"/>
      <c r="I311" s="67"/>
      <c r="J311" s="67"/>
      <c r="K311" s="67"/>
      <c r="L311" s="67"/>
      <c r="M311" s="62"/>
      <c r="N311" s="62"/>
    </row>
    <row r="312" spans="1:14" x14ac:dyDescent="0.3">
      <c r="A312" s="62"/>
      <c r="B312" s="62"/>
      <c r="C312" s="63"/>
      <c r="D312" s="64"/>
      <c r="E312" s="65"/>
      <c r="F312" s="65"/>
      <c r="G312" s="66"/>
      <c r="H312" s="67"/>
      <c r="I312" s="67"/>
      <c r="J312" s="67"/>
      <c r="K312" s="67"/>
      <c r="L312" s="67"/>
      <c r="M312" s="62"/>
      <c r="N312" s="62"/>
    </row>
    <row r="313" spans="1:14" x14ac:dyDescent="0.3">
      <c r="A313" s="62"/>
      <c r="B313" s="62"/>
      <c r="C313" s="63"/>
      <c r="D313" s="64"/>
      <c r="E313" s="65"/>
      <c r="F313" s="65"/>
      <c r="G313" s="66"/>
      <c r="H313" s="67"/>
      <c r="I313" s="67"/>
      <c r="J313" s="67"/>
      <c r="K313" s="67"/>
      <c r="L313" s="67"/>
      <c r="M313" s="62"/>
      <c r="N313" s="62"/>
    </row>
    <row r="314" spans="1:14" x14ac:dyDescent="0.3">
      <c r="A314" s="62"/>
      <c r="B314" s="62"/>
      <c r="C314" s="63"/>
      <c r="D314" s="64"/>
      <c r="E314" s="65"/>
      <c r="F314" s="65"/>
      <c r="G314" s="66"/>
      <c r="H314" s="67"/>
      <c r="I314" s="67"/>
      <c r="J314" s="67"/>
      <c r="K314" s="67"/>
      <c r="L314" s="67"/>
      <c r="M314" s="62"/>
      <c r="N314" s="62"/>
    </row>
    <row r="315" spans="1:14" x14ac:dyDescent="0.3">
      <c r="A315" s="62"/>
      <c r="B315" s="62"/>
      <c r="C315" s="63"/>
      <c r="D315" s="64"/>
      <c r="E315" s="65"/>
      <c r="F315" s="65"/>
      <c r="G315" s="66"/>
      <c r="H315" s="67"/>
      <c r="I315" s="67"/>
      <c r="J315" s="67"/>
      <c r="K315" s="67"/>
      <c r="L315" s="67"/>
      <c r="M315" s="62"/>
      <c r="N315" s="62"/>
    </row>
    <row r="316" spans="1:14" x14ac:dyDescent="0.3">
      <c r="A316" s="62"/>
      <c r="B316" s="62"/>
      <c r="C316" s="63"/>
      <c r="D316" s="64"/>
      <c r="E316" s="65"/>
      <c r="F316" s="65"/>
      <c r="G316" s="66"/>
      <c r="H316" s="67"/>
      <c r="I316" s="67"/>
      <c r="J316" s="67"/>
      <c r="K316" s="67"/>
      <c r="L316" s="67"/>
      <c r="M316" s="62"/>
      <c r="N316" s="62"/>
    </row>
    <row r="317" spans="1:14" x14ac:dyDescent="0.3">
      <c r="A317" s="62"/>
      <c r="B317" s="62"/>
      <c r="C317" s="63"/>
      <c r="D317" s="64"/>
      <c r="E317" s="65"/>
      <c r="F317" s="65"/>
      <c r="G317" s="66"/>
      <c r="H317" s="67"/>
      <c r="I317" s="67"/>
      <c r="J317" s="67"/>
      <c r="K317" s="67"/>
      <c r="L317" s="67"/>
      <c r="M317" s="62"/>
      <c r="N317" s="62"/>
    </row>
    <row r="318" spans="1:14" x14ac:dyDescent="0.3">
      <c r="A318" s="62"/>
      <c r="B318" s="62"/>
      <c r="C318" s="63"/>
      <c r="D318" s="64"/>
      <c r="E318" s="65"/>
      <c r="F318" s="65"/>
      <c r="G318" s="66"/>
      <c r="H318" s="67"/>
      <c r="I318" s="67"/>
      <c r="J318" s="67"/>
      <c r="K318" s="67"/>
      <c r="L318" s="67"/>
      <c r="M318" s="62"/>
      <c r="N318" s="62"/>
    </row>
    <row r="319" spans="1:14" x14ac:dyDescent="0.3">
      <c r="A319" s="62"/>
      <c r="B319" s="62"/>
      <c r="C319" s="63"/>
      <c r="D319" s="64"/>
      <c r="E319" s="65"/>
      <c r="F319" s="65"/>
      <c r="G319" s="66"/>
      <c r="H319" s="67"/>
      <c r="I319" s="67"/>
      <c r="J319" s="67"/>
      <c r="K319" s="67"/>
      <c r="L319" s="67"/>
      <c r="M319" s="62"/>
      <c r="N319" s="62"/>
    </row>
    <row r="320" spans="1:14" x14ac:dyDescent="0.3">
      <c r="A320" s="62"/>
      <c r="B320" s="62"/>
      <c r="C320" s="63"/>
      <c r="D320" s="64"/>
      <c r="E320" s="65"/>
      <c r="F320" s="65"/>
      <c r="G320" s="66"/>
      <c r="H320" s="67"/>
      <c r="I320" s="67"/>
      <c r="J320" s="67"/>
      <c r="K320" s="67"/>
      <c r="L320" s="67"/>
      <c r="M320" s="62"/>
      <c r="N320" s="62"/>
    </row>
    <row r="321" spans="1:14" x14ac:dyDescent="0.3">
      <c r="A321" s="62"/>
      <c r="B321" s="62"/>
      <c r="C321" s="63"/>
      <c r="D321" s="64"/>
      <c r="E321" s="65"/>
      <c r="F321" s="65"/>
      <c r="G321" s="66"/>
      <c r="H321" s="67"/>
      <c r="I321" s="67"/>
      <c r="J321" s="67"/>
      <c r="K321" s="67"/>
      <c r="L321" s="67"/>
      <c r="M321" s="62"/>
      <c r="N321" s="62"/>
    </row>
    <row r="322" spans="1:14" x14ac:dyDescent="0.3">
      <c r="A322" s="62"/>
      <c r="B322" s="62"/>
      <c r="C322" s="63"/>
      <c r="D322" s="64"/>
      <c r="E322" s="65"/>
      <c r="F322" s="65"/>
      <c r="G322" s="66"/>
      <c r="H322" s="67"/>
      <c r="I322" s="67"/>
      <c r="J322" s="67"/>
      <c r="K322" s="67"/>
      <c r="L322" s="67"/>
      <c r="M322" s="62"/>
      <c r="N322" s="62"/>
    </row>
    <row r="323" spans="1:14" x14ac:dyDescent="0.3">
      <c r="A323" s="62"/>
      <c r="B323" s="62"/>
      <c r="C323" s="63"/>
      <c r="D323" s="64"/>
      <c r="E323" s="65"/>
      <c r="F323" s="65"/>
      <c r="G323" s="66"/>
      <c r="H323" s="67"/>
      <c r="I323" s="67"/>
      <c r="J323" s="67"/>
      <c r="K323" s="67"/>
      <c r="L323" s="67"/>
      <c r="M323" s="62"/>
      <c r="N323" s="62"/>
    </row>
    <row r="324" spans="1:14" x14ac:dyDescent="0.3">
      <c r="A324" s="62"/>
      <c r="B324" s="62"/>
      <c r="C324" s="63"/>
      <c r="D324" s="64"/>
      <c r="E324" s="65"/>
      <c r="F324" s="65"/>
      <c r="G324" s="66"/>
      <c r="H324" s="67"/>
      <c r="I324" s="67"/>
      <c r="J324" s="67"/>
      <c r="K324" s="67"/>
      <c r="L324" s="67"/>
      <c r="M324" s="62"/>
      <c r="N324" s="62"/>
    </row>
    <row r="325" spans="1:14" x14ac:dyDescent="0.3">
      <c r="A325" s="62"/>
      <c r="B325" s="62"/>
      <c r="C325" s="63"/>
      <c r="D325" s="64"/>
      <c r="E325" s="65"/>
      <c r="F325" s="65"/>
      <c r="G325" s="66"/>
      <c r="H325" s="67"/>
      <c r="I325" s="67"/>
      <c r="J325" s="67"/>
      <c r="K325" s="67"/>
      <c r="L325" s="67"/>
      <c r="M325" s="62"/>
      <c r="N325" s="62"/>
    </row>
    <row r="326" spans="1:14" x14ac:dyDescent="0.3">
      <c r="A326" s="62"/>
      <c r="B326" s="62"/>
      <c r="C326" s="63"/>
      <c r="D326" s="64"/>
      <c r="E326" s="65"/>
      <c r="F326" s="65"/>
      <c r="G326" s="66"/>
      <c r="H326" s="67"/>
      <c r="I326" s="67"/>
      <c r="J326" s="67"/>
      <c r="K326" s="67"/>
      <c r="L326" s="67"/>
      <c r="M326" s="62"/>
      <c r="N326" s="62"/>
    </row>
    <row r="327" spans="1:14" x14ac:dyDescent="0.3">
      <c r="A327" s="62"/>
      <c r="B327" s="62"/>
      <c r="C327" s="63"/>
      <c r="D327" s="64"/>
      <c r="E327" s="65"/>
      <c r="F327" s="65"/>
      <c r="G327" s="66"/>
      <c r="H327" s="67"/>
      <c r="I327" s="67"/>
      <c r="J327" s="67"/>
      <c r="K327" s="67"/>
      <c r="L327" s="67"/>
      <c r="M327" s="62"/>
      <c r="N327" s="62"/>
    </row>
    <row r="328" spans="1:14" x14ac:dyDescent="0.3">
      <c r="A328" s="62"/>
      <c r="B328" s="62"/>
      <c r="C328" s="63"/>
      <c r="D328" s="64"/>
      <c r="E328" s="65"/>
      <c r="F328" s="65"/>
      <c r="G328" s="66"/>
      <c r="H328" s="67"/>
      <c r="I328" s="67"/>
      <c r="J328" s="67"/>
      <c r="K328" s="67"/>
      <c r="L328" s="67"/>
      <c r="M328" s="62"/>
      <c r="N328" s="62"/>
    </row>
    <row r="329" spans="1:14" s="52" customFormat="1" x14ac:dyDescent="0.3">
      <c r="A329" s="62"/>
      <c r="B329" s="62"/>
      <c r="C329" s="63"/>
      <c r="D329" s="64"/>
      <c r="E329" s="65"/>
      <c r="F329" s="65"/>
      <c r="G329" s="66"/>
      <c r="H329" s="67"/>
      <c r="I329" s="67"/>
      <c r="J329" s="67"/>
      <c r="K329" s="67"/>
      <c r="L329" s="67"/>
      <c r="M329" s="62"/>
      <c r="N329" s="62"/>
    </row>
    <row r="330" spans="1:14" s="52" customFormat="1" x14ac:dyDescent="0.3">
      <c r="A330" s="62"/>
      <c r="B330" s="62"/>
      <c r="C330" s="63"/>
      <c r="D330" s="64"/>
      <c r="E330" s="65"/>
      <c r="F330" s="65"/>
      <c r="G330" s="66"/>
      <c r="H330" s="67"/>
      <c r="I330" s="67"/>
      <c r="J330" s="67"/>
      <c r="K330" s="67"/>
      <c r="L330" s="67"/>
      <c r="M330" s="62"/>
      <c r="N330" s="62"/>
    </row>
    <row r="331" spans="1:14" s="52" customFormat="1" x14ac:dyDescent="0.3">
      <c r="A331" s="62"/>
      <c r="B331" s="62"/>
      <c r="C331" s="63"/>
      <c r="D331" s="64"/>
      <c r="E331" s="65"/>
      <c r="F331" s="65"/>
      <c r="G331" s="66"/>
      <c r="H331" s="67"/>
      <c r="I331" s="67"/>
      <c r="J331" s="67"/>
      <c r="K331" s="67"/>
      <c r="L331" s="67"/>
      <c r="M331" s="62"/>
      <c r="N331" s="62"/>
    </row>
    <row r="332" spans="1:14" s="52" customFormat="1" x14ac:dyDescent="0.3">
      <c r="A332" s="62"/>
      <c r="B332" s="62"/>
      <c r="C332" s="63"/>
      <c r="D332" s="64"/>
      <c r="E332" s="65"/>
      <c r="F332" s="65"/>
      <c r="G332" s="66"/>
      <c r="H332" s="67"/>
      <c r="I332" s="67"/>
      <c r="J332" s="67"/>
      <c r="K332" s="67"/>
      <c r="L332" s="67"/>
      <c r="M332" s="62"/>
      <c r="N332" s="62"/>
    </row>
    <row r="333" spans="1:14" s="52" customFormat="1" x14ac:dyDescent="0.3">
      <c r="A333" s="62"/>
      <c r="B333" s="62"/>
      <c r="C333" s="63"/>
      <c r="D333" s="64"/>
      <c r="E333" s="65"/>
      <c r="F333" s="65"/>
      <c r="G333" s="66"/>
      <c r="H333" s="67"/>
      <c r="I333" s="67"/>
      <c r="J333" s="67"/>
      <c r="K333" s="67"/>
      <c r="L333" s="67"/>
      <c r="M333" s="62"/>
      <c r="N333" s="62"/>
    </row>
    <row r="334" spans="1:14" s="52" customFormat="1" x14ac:dyDescent="0.3">
      <c r="A334" s="62"/>
      <c r="B334" s="62"/>
      <c r="C334" s="63"/>
      <c r="D334" s="64"/>
      <c r="E334" s="65"/>
      <c r="F334" s="65"/>
      <c r="G334" s="66"/>
      <c r="H334" s="67"/>
      <c r="I334" s="67"/>
      <c r="J334" s="67"/>
      <c r="K334" s="67"/>
      <c r="L334" s="67"/>
      <c r="M334" s="62"/>
      <c r="N334" s="62"/>
    </row>
    <row r="335" spans="1:14" s="52" customFormat="1" x14ac:dyDescent="0.3">
      <c r="A335" s="62"/>
      <c r="B335" s="62"/>
      <c r="C335" s="63"/>
      <c r="D335" s="64"/>
      <c r="E335" s="65"/>
      <c r="F335" s="65"/>
      <c r="G335" s="66"/>
      <c r="H335" s="67"/>
      <c r="I335" s="67"/>
      <c r="J335" s="67"/>
      <c r="K335" s="67"/>
      <c r="L335" s="67"/>
      <c r="M335" s="62"/>
      <c r="N335" s="62"/>
    </row>
    <row r="336" spans="1:14" s="52" customFormat="1" x14ac:dyDescent="0.3">
      <c r="A336" s="62"/>
      <c r="B336" s="62"/>
      <c r="C336" s="63"/>
      <c r="D336" s="64"/>
      <c r="E336" s="65"/>
      <c r="F336" s="65"/>
      <c r="G336" s="66"/>
      <c r="H336" s="67"/>
      <c r="I336" s="67"/>
      <c r="J336" s="67"/>
      <c r="K336" s="67"/>
      <c r="L336" s="67"/>
      <c r="M336" s="62"/>
      <c r="N336" s="62"/>
    </row>
    <row r="337" spans="1:14" s="52" customFormat="1" x14ac:dyDescent="0.3">
      <c r="A337" s="62"/>
      <c r="B337" s="62"/>
      <c r="C337" s="63"/>
      <c r="D337" s="64"/>
      <c r="E337" s="65"/>
      <c r="F337" s="65"/>
      <c r="G337" s="66"/>
      <c r="H337" s="67"/>
      <c r="I337" s="67"/>
      <c r="J337" s="67"/>
      <c r="K337" s="67"/>
      <c r="L337" s="67"/>
      <c r="M337" s="62"/>
      <c r="N337" s="62"/>
    </row>
    <row r="338" spans="1:14" s="52" customFormat="1" x14ac:dyDescent="0.3">
      <c r="A338" s="62"/>
      <c r="B338" s="62"/>
      <c r="C338" s="63"/>
      <c r="D338" s="64"/>
      <c r="E338" s="65"/>
      <c r="F338" s="65"/>
      <c r="G338" s="66"/>
      <c r="H338" s="67"/>
      <c r="I338" s="67"/>
      <c r="J338" s="67"/>
      <c r="K338" s="67"/>
      <c r="L338" s="67"/>
      <c r="M338" s="62"/>
      <c r="N338" s="62"/>
    </row>
    <row r="339" spans="1:14" s="52" customFormat="1" x14ac:dyDescent="0.3">
      <c r="A339" s="62"/>
      <c r="B339" s="62"/>
      <c r="C339" s="63"/>
      <c r="D339" s="64"/>
      <c r="E339" s="65"/>
      <c r="F339" s="65"/>
      <c r="G339" s="66"/>
      <c r="H339" s="67"/>
      <c r="I339" s="67"/>
      <c r="J339" s="67"/>
      <c r="K339" s="67"/>
      <c r="L339" s="67"/>
      <c r="M339" s="62"/>
      <c r="N339" s="62"/>
    </row>
    <row r="340" spans="1:14" s="52" customFormat="1" x14ac:dyDescent="0.3">
      <c r="A340" s="62"/>
      <c r="B340" s="62"/>
      <c r="C340" s="63"/>
      <c r="D340" s="64"/>
      <c r="E340" s="65"/>
      <c r="F340" s="65"/>
      <c r="G340" s="66"/>
      <c r="H340" s="67"/>
      <c r="I340" s="67"/>
      <c r="J340" s="67"/>
      <c r="K340" s="67"/>
      <c r="L340" s="67"/>
      <c r="M340" s="62"/>
      <c r="N340" s="62"/>
    </row>
    <row r="341" spans="1:14" s="52" customFormat="1" x14ac:dyDescent="0.3">
      <c r="A341" s="62"/>
      <c r="B341" s="62"/>
      <c r="C341" s="63"/>
      <c r="D341" s="64"/>
      <c r="E341" s="65"/>
      <c r="F341" s="65"/>
      <c r="G341" s="66"/>
      <c r="H341" s="67"/>
      <c r="I341" s="67"/>
      <c r="J341" s="67"/>
      <c r="K341" s="67"/>
      <c r="L341" s="67"/>
      <c r="M341" s="62"/>
      <c r="N341" s="62"/>
    </row>
    <row r="342" spans="1:14" s="52" customFormat="1" x14ac:dyDescent="0.3">
      <c r="A342" s="62"/>
      <c r="B342" s="62"/>
      <c r="C342" s="63"/>
      <c r="D342" s="64"/>
      <c r="E342" s="65"/>
      <c r="F342" s="65"/>
      <c r="G342" s="66"/>
      <c r="H342" s="67"/>
      <c r="I342" s="67"/>
      <c r="J342" s="67"/>
      <c r="K342" s="67"/>
      <c r="L342" s="67"/>
      <c r="M342" s="62"/>
      <c r="N342" s="62"/>
    </row>
    <row r="343" spans="1:14" s="52" customFormat="1" x14ac:dyDescent="0.3">
      <c r="A343" s="62"/>
      <c r="B343" s="62"/>
      <c r="C343" s="63"/>
      <c r="D343" s="64"/>
      <c r="E343" s="65"/>
      <c r="F343" s="65"/>
      <c r="G343" s="66"/>
      <c r="H343" s="67"/>
      <c r="I343" s="67"/>
      <c r="J343" s="67"/>
      <c r="K343" s="67"/>
      <c r="L343" s="67"/>
      <c r="M343" s="62"/>
      <c r="N343" s="62"/>
    </row>
    <row r="344" spans="1:14" s="52" customFormat="1" x14ac:dyDescent="0.3">
      <c r="A344" s="62"/>
      <c r="B344" s="62"/>
      <c r="C344" s="63"/>
      <c r="D344" s="64"/>
      <c r="E344" s="65"/>
      <c r="F344" s="65"/>
      <c r="G344" s="66"/>
      <c r="H344" s="67"/>
      <c r="I344" s="67"/>
      <c r="J344" s="67"/>
      <c r="K344" s="67"/>
      <c r="L344" s="67"/>
      <c r="M344" s="62"/>
      <c r="N344" s="62"/>
    </row>
    <row r="345" spans="1:14" s="52" customFormat="1" x14ac:dyDescent="0.3">
      <c r="A345" s="62"/>
      <c r="B345" s="62"/>
      <c r="C345" s="63"/>
      <c r="D345" s="64"/>
      <c r="E345" s="65"/>
      <c r="F345" s="65"/>
      <c r="G345" s="66"/>
      <c r="H345" s="67"/>
      <c r="I345" s="67"/>
      <c r="J345" s="67"/>
      <c r="K345" s="67"/>
      <c r="L345" s="67"/>
      <c r="M345" s="62"/>
      <c r="N345" s="62"/>
    </row>
    <row r="346" spans="1:14" s="52" customFormat="1" x14ac:dyDescent="0.3">
      <c r="A346" s="62"/>
      <c r="B346" s="62"/>
      <c r="C346" s="63"/>
      <c r="D346" s="64"/>
      <c r="E346" s="65"/>
      <c r="F346" s="65"/>
      <c r="G346" s="66"/>
      <c r="H346" s="67"/>
      <c r="I346" s="67"/>
      <c r="J346" s="67"/>
      <c r="K346" s="67"/>
      <c r="L346" s="67"/>
      <c r="M346" s="62"/>
      <c r="N346" s="62"/>
    </row>
    <row r="347" spans="1:14" s="52" customFormat="1" x14ac:dyDescent="0.3">
      <c r="A347" s="62"/>
      <c r="B347" s="62"/>
      <c r="C347" s="63"/>
      <c r="D347" s="64"/>
      <c r="E347" s="65"/>
      <c r="F347" s="65"/>
      <c r="G347" s="66"/>
      <c r="H347" s="67"/>
      <c r="I347" s="67"/>
      <c r="J347" s="67"/>
      <c r="K347" s="67"/>
      <c r="L347" s="67"/>
      <c r="M347" s="62"/>
      <c r="N347" s="62"/>
    </row>
    <row r="348" spans="1:14" s="52" customFormat="1" x14ac:dyDescent="0.3">
      <c r="A348" s="62"/>
      <c r="B348" s="62"/>
      <c r="C348" s="63"/>
      <c r="D348" s="64"/>
      <c r="E348" s="65"/>
      <c r="F348" s="65"/>
      <c r="G348" s="66"/>
      <c r="H348" s="67"/>
      <c r="I348" s="67"/>
      <c r="J348" s="67"/>
      <c r="K348" s="67"/>
      <c r="L348" s="67"/>
      <c r="M348" s="62"/>
      <c r="N348" s="62"/>
    </row>
    <row r="349" spans="1:14" s="52" customFormat="1" x14ac:dyDescent="0.3">
      <c r="A349" s="62"/>
      <c r="B349" s="62"/>
      <c r="C349" s="63"/>
      <c r="D349" s="64"/>
      <c r="E349" s="65"/>
      <c r="F349" s="65"/>
      <c r="G349" s="66"/>
      <c r="H349" s="67"/>
      <c r="I349" s="67"/>
      <c r="J349" s="67"/>
      <c r="K349" s="67"/>
      <c r="L349" s="67"/>
      <c r="M349" s="62"/>
      <c r="N349" s="62"/>
    </row>
    <row r="350" spans="1:14" s="52" customFormat="1" x14ac:dyDescent="0.3">
      <c r="A350" s="62"/>
      <c r="B350" s="62"/>
      <c r="C350" s="63"/>
      <c r="D350" s="64"/>
      <c r="E350" s="65"/>
      <c r="F350" s="65"/>
      <c r="G350" s="66"/>
      <c r="H350" s="67"/>
      <c r="I350" s="67"/>
      <c r="J350" s="67"/>
      <c r="K350" s="67"/>
      <c r="L350" s="67"/>
      <c r="M350" s="62"/>
      <c r="N350" s="62"/>
    </row>
    <row r="351" spans="1:14" x14ac:dyDescent="0.3">
      <c r="A351" s="62"/>
      <c r="B351" s="62"/>
      <c r="C351" s="63"/>
      <c r="D351" s="64"/>
      <c r="E351" s="65"/>
      <c r="F351" s="65"/>
      <c r="G351" s="66"/>
      <c r="H351" s="67"/>
      <c r="I351" s="67"/>
      <c r="J351" s="67"/>
      <c r="K351" s="67"/>
      <c r="L351" s="67"/>
      <c r="M351" s="62"/>
      <c r="N351" s="62"/>
    </row>
    <row r="352" spans="1:14" x14ac:dyDescent="0.3">
      <c r="A352" s="62"/>
      <c r="B352" s="62"/>
      <c r="C352" s="63"/>
      <c r="D352" s="64"/>
      <c r="E352" s="65"/>
      <c r="F352" s="65"/>
      <c r="G352" s="66"/>
      <c r="H352" s="67"/>
      <c r="I352" s="67"/>
      <c r="J352" s="67"/>
      <c r="K352" s="67"/>
      <c r="L352" s="67"/>
      <c r="M352" s="62"/>
      <c r="N352" s="62"/>
    </row>
    <row r="353" spans="1:14" x14ac:dyDescent="0.3">
      <c r="A353" s="62"/>
      <c r="B353" s="62"/>
      <c r="C353" s="63"/>
      <c r="D353" s="64"/>
      <c r="E353" s="65"/>
      <c r="F353" s="65"/>
      <c r="G353" s="66"/>
      <c r="H353" s="67"/>
      <c r="I353" s="67"/>
      <c r="J353" s="67"/>
      <c r="K353" s="67"/>
      <c r="L353" s="67"/>
      <c r="M353" s="62"/>
      <c r="N353" s="62"/>
    </row>
    <row r="354" spans="1:14" x14ac:dyDescent="0.3">
      <c r="A354" s="62"/>
      <c r="B354" s="62"/>
      <c r="C354" s="63"/>
      <c r="D354" s="64"/>
      <c r="E354" s="65"/>
      <c r="F354" s="65"/>
      <c r="G354" s="66"/>
      <c r="H354" s="67"/>
      <c r="I354" s="67"/>
      <c r="J354" s="67"/>
      <c r="K354" s="67"/>
      <c r="L354" s="67"/>
      <c r="M354" s="62"/>
      <c r="N354" s="62"/>
    </row>
    <row r="355" spans="1:14" x14ac:dyDescent="0.3">
      <c r="A355" s="62"/>
      <c r="B355" s="62"/>
      <c r="C355" s="63"/>
      <c r="D355" s="64"/>
      <c r="E355" s="65"/>
      <c r="F355" s="65"/>
      <c r="G355" s="66"/>
      <c r="H355" s="67"/>
      <c r="I355" s="67"/>
      <c r="J355" s="67"/>
      <c r="K355" s="67"/>
      <c r="L355" s="67"/>
      <c r="M355" s="62"/>
      <c r="N355" s="62"/>
    </row>
    <row r="356" spans="1:14" x14ac:dyDescent="0.3">
      <c r="A356" s="62"/>
      <c r="B356" s="62"/>
      <c r="C356" s="63"/>
      <c r="D356" s="64"/>
      <c r="E356" s="65"/>
      <c r="F356" s="65"/>
      <c r="G356" s="66"/>
      <c r="H356" s="67"/>
      <c r="I356" s="67"/>
      <c r="J356" s="67"/>
      <c r="K356" s="67"/>
      <c r="L356" s="67"/>
      <c r="M356" s="62"/>
      <c r="N356" s="62"/>
    </row>
    <row r="357" spans="1:14" x14ac:dyDescent="0.3">
      <c r="A357" s="62"/>
      <c r="B357" s="62"/>
      <c r="C357" s="63"/>
      <c r="D357" s="64"/>
      <c r="E357" s="65"/>
      <c r="F357" s="65"/>
      <c r="G357" s="66"/>
      <c r="H357" s="67"/>
      <c r="I357" s="67"/>
      <c r="J357" s="67"/>
      <c r="K357" s="67"/>
      <c r="L357" s="67"/>
      <c r="M357" s="62"/>
      <c r="N357" s="62"/>
    </row>
    <row r="358" spans="1:14" x14ac:dyDescent="0.3">
      <c r="A358" s="62"/>
      <c r="B358" s="62"/>
      <c r="C358" s="63"/>
      <c r="D358" s="64"/>
      <c r="E358" s="65"/>
      <c r="F358" s="65"/>
      <c r="G358" s="66"/>
      <c r="H358" s="67"/>
      <c r="I358" s="67"/>
      <c r="J358" s="67"/>
      <c r="K358" s="67"/>
      <c r="L358" s="67"/>
      <c r="M358" s="62"/>
      <c r="N358" s="62"/>
    </row>
    <row r="359" spans="1:14" x14ac:dyDescent="0.3">
      <c r="A359" s="62"/>
      <c r="B359" s="62"/>
      <c r="C359" s="63"/>
      <c r="D359" s="64"/>
      <c r="E359" s="65"/>
      <c r="F359" s="65"/>
      <c r="G359" s="66"/>
      <c r="H359" s="67"/>
      <c r="I359" s="67"/>
      <c r="J359" s="67"/>
      <c r="K359" s="67"/>
      <c r="L359" s="67"/>
      <c r="M359" s="62"/>
      <c r="N359" s="62"/>
    </row>
    <row r="360" spans="1:14" x14ac:dyDescent="0.3">
      <c r="A360" s="62"/>
      <c r="B360" s="62"/>
      <c r="C360" s="63"/>
      <c r="D360" s="64"/>
      <c r="E360" s="65"/>
      <c r="F360" s="65"/>
      <c r="G360" s="66"/>
      <c r="H360" s="67"/>
      <c r="I360" s="67"/>
      <c r="J360" s="67"/>
      <c r="K360" s="67"/>
      <c r="L360" s="67"/>
      <c r="M360" s="62"/>
      <c r="N360" s="62"/>
    </row>
    <row r="361" spans="1:14" x14ac:dyDescent="0.3">
      <c r="A361" s="62"/>
      <c r="B361" s="62"/>
      <c r="C361" s="63"/>
      <c r="D361" s="64"/>
      <c r="E361" s="65"/>
      <c r="F361" s="65"/>
      <c r="G361" s="66"/>
      <c r="H361" s="67"/>
      <c r="I361" s="67"/>
      <c r="J361" s="67"/>
      <c r="K361" s="67"/>
      <c r="L361" s="67"/>
      <c r="M361" s="62"/>
      <c r="N361" s="62"/>
    </row>
    <row r="362" spans="1:14" x14ac:dyDescent="0.3">
      <c r="A362" s="62"/>
      <c r="B362" s="62"/>
      <c r="C362" s="63"/>
      <c r="D362" s="64"/>
      <c r="E362" s="65"/>
      <c r="F362" s="65"/>
      <c r="G362" s="66"/>
      <c r="H362" s="67"/>
      <c r="I362" s="67"/>
      <c r="J362" s="67"/>
      <c r="K362" s="67"/>
      <c r="L362" s="67"/>
      <c r="M362" s="62"/>
      <c r="N362" s="62"/>
    </row>
    <row r="363" spans="1:14" x14ac:dyDescent="0.3">
      <c r="A363" s="62"/>
      <c r="B363" s="62"/>
      <c r="C363" s="63"/>
      <c r="D363" s="64"/>
      <c r="E363" s="65"/>
      <c r="F363" s="65"/>
      <c r="G363" s="66"/>
      <c r="H363" s="67"/>
      <c r="I363" s="67"/>
      <c r="J363" s="67"/>
      <c r="K363" s="67"/>
      <c r="L363" s="67"/>
      <c r="M363" s="62"/>
      <c r="N363" s="62"/>
    </row>
    <row r="364" spans="1:14" x14ac:dyDescent="0.3">
      <c r="A364" s="62"/>
      <c r="B364" s="62"/>
      <c r="C364" s="63"/>
      <c r="D364" s="64"/>
      <c r="E364" s="65"/>
      <c r="F364" s="65"/>
      <c r="G364" s="66"/>
      <c r="H364" s="67"/>
      <c r="I364" s="67"/>
      <c r="J364" s="67"/>
      <c r="K364" s="67"/>
      <c r="L364" s="67"/>
      <c r="M364" s="62"/>
      <c r="N364" s="62"/>
    </row>
    <row r="365" spans="1:14" x14ac:dyDescent="0.3">
      <c r="A365" s="62"/>
      <c r="B365" s="62"/>
      <c r="C365" s="63"/>
      <c r="D365" s="64"/>
      <c r="E365" s="65"/>
      <c r="F365" s="65"/>
      <c r="G365" s="66"/>
      <c r="H365" s="67"/>
      <c r="I365" s="67"/>
      <c r="J365" s="67"/>
      <c r="K365" s="67"/>
      <c r="L365" s="67"/>
      <c r="M365" s="62"/>
      <c r="N365" s="62"/>
    </row>
    <row r="366" spans="1:14" x14ac:dyDescent="0.3">
      <c r="A366" s="62"/>
      <c r="B366" s="62"/>
      <c r="C366" s="63"/>
      <c r="D366" s="64"/>
      <c r="E366" s="65"/>
      <c r="F366" s="65"/>
      <c r="G366" s="66"/>
      <c r="H366" s="67"/>
      <c r="I366" s="67"/>
      <c r="J366" s="67"/>
      <c r="K366" s="67"/>
      <c r="L366" s="67"/>
      <c r="M366" s="62"/>
      <c r="N366" s="62"/>
    </row>
    <row r="367" spans="1:14" x14ac:dyDescent="0.3">
      <c r="A367" s="62"/>
      <c r="B367" s="62"/>
      <c r="C367" s="63"/>
      <c r="D367" s="64"/>
      <c r="E367" s="65"/>
      <c r="F367" s="65"/>
      <c r="G367" s="66"/>
      <c r="H367" s="67"/>
      <c r="I367" s="67"/>
      <c r="J367" s="67"/>
      <c r="K367" s="67"/>
      <c r="L367" s="67"/>
      <c r="M367" s="62"/>
      <c r="N367" s="62"/>
    </row>
    <row r="368" spans="1:14" x14ac:dyDescent="0.3">
      <c r="A368" s="62"/>
      <c r="B368" s="69"/>
      <c r="C368" s="63"/>
      <c r="D368" s="64"/>
      <c r="E368" s="65"/>
      <c r="F368" s="65"/>
      <c r="G368" s="66"/>
      <c r="H368" s="67"/>
      <c r="I368" s="67"/>
      <c r="J368" s="67"/>
      <c r="K368" s="67"/>
      <c r="L368" s="67"/>
      <c r="M368" s="62"/>
      <c r="N368" s="62"/>
    </row>
    <row r="369" spans="1:14" x14ac:dyDescent="0.3">
      <c r="A369" s="62"/>
      <c r="B369" s="62"/>
      <c r="C369" s="63"/>
      <c r="D369" s="64"/>
      <c r="E369" s="65"/>
      <c r="F369" s="65"/>
      <c r="G369" s="66"/>
      <c r="H369" s="67"/>
      <c r="I369" s="67"/>
      <c r="J369" s="67"/>
      <c r="K369" s="67"/>
      <c r="L369" s="67"/>
      <c r="M369" s="62"/>
      <c r="N369" s="62"/>
    </row>
    <row r="370" spans="1:14" x14ac:dyDescent="0.3">
      <c r="A370" s="62"/>
      <c r="B370" s="62"/>
      <c r="C370" s="63"/>
      <c r="D370" s="64"/>
      <c r="E370" s="65"/>
      <c r="F370" s="65"/>
      <c r="G370" s="66"/>
      <c r="H370" s="67"/>
      <c r="I370" s="67"/>
      <c r="J370" s="67"/>
      <c r="K370" s="67"/>
      <c r="L370" s="67"/>
      <c r="M370" s="62"/>
      <c r="N370" s="62"/>
    </row>
    <row r="371" spans="1:14" x14ac:dyDescent="0.3">
      <c r="A371" s="62"/>
      <c r="B371" s="62"/>
      <c r="C371" s="63"/>
      <c r="D371" s="64"/>
      <c r="E371" s="65"/>
      <c r="F371" s="65"/>
      <c r="G371" s="66"/>
      <c r="H371" s="67"/>
      <c r="I371" s="67"/>
      <c r="J371" s="67"/>
      <c r="K371" s="67"/>
      <c r="L371" s="67"/>
      <c r="M371" s="62"/>
      <c r="N371" s="62"/>
    </row>
    <row r="372" spans="1:14" x14ac:dyDescent="0.3">
      <c r="A372" s="62"/>
      <c r="B372" s="62"/>
      <c r="C372" s="63"/>
      <c r="D372" s="64"/>
      <c r="E372" s="65"/>
      <c r="F372" s="65"/>
      <c r="G372" s="66"/>
      <c r="H372" s="67"/>
      <c r="I372" s="67"/>
      <c r="J372" s="67"/>
      <c r="K372" s="67"/>
      <c r="L372" s="67"/>
      <c r="M372" s="62"/>
      <c r="N372" s="62"/>
    </row>
    <row r="373" spans="1:14" x14ac:dyDescent="0.3">
      <c r="A373" s="62"/>
      <c r="B373" s="62"/>
      <c r="C373" s="63"/>
      <c r="D373" s="64"/>
      <c r="E373" s="65"/>
      <c r="F373" s="65"/>
      <c r="G373" s="66"/>
      <c r="H373" s="67"/>
      <c r="I373" s="67"/>
      <c r="J373" s="67"/>
      <c r="K373" s="67"/>
      <c r="L373" s="67"/>
      <c r="M373" s="62"/>
      <c r="N373" s="62"/>
    </row>
    <row r="374" spans="1:14" x14ac:dyDescent="0.3">
      <c r="A374" s="62"/>
      <c r="B374" s="62"/>
      <c r="C374" s="63"/>
      <c r="D374" s="64"/>
      <c r="E374" s="65"/>
      <c r="F374" s="65"/>
      <c r="G374" s="66"/>
      <c r="H374" s="67"/>
      <c r="I374" s="67"/>
      <c r="J374" s="67"/>
      <c r="K374" s="67"/>
      <c r="L374" s="67"/>
      <c r="M374" s="62"/>
      <c r="N374" s="62"/>
    </row>
    <row r="375" spans="1:14" x14ac:dyDescent="0.3">
      <c r="A375" s="62"/>
      <c r="B375" s="62"/>
      <c r="C375" s="63"/>
      <c r="D375" s="64"/>
      <c r="E375" s="65"/>
      <c r="F375" s="65"/>
      <c r="G375" s="66"/>
      <c r="H375" s="67"/>
      <c r="I375" s="67"/>
      <c r="J375" s="67"/>
      <c r="K375" s="67"/>
      <c r="L375" s="67"/>
      <c r="M375" s="62"/>
      <c r="N375" s="62"/>
    </row>
    <row r="376" spans="1:14" x14ac:dyDescent="0.3">
      <c r="A376" s="62"/>
      <c r="B376" s="62"/>
      <c r="C376" s="63"/>
      <c r="D376" s="64"/>
      <c r="E376" s="65"/>
      <c r="F376" s="65"/>
      <c r="G376" s="66"/>
      <c r="H376" s="67"/>
      <c r="I376" s="67"/>
      <c r="J376" s="67"/>
      <c r="K376" s="67"/>
      <c r="L376" s="67"/>
      <c r="M376" s="62"/>
      <c r="N376" s="62"/>
    </row>
    <row r="377" spans="1:14" x14ac:dyDescent="0.3">
      <c r="A377" s="62"/>
      <c r="B377" s="62"/>
      <c r="C377" s="63"/>
      <c r="D377" s="64"/>
      <c r="E377" s="65"/>
      <c r="F377" s="65"/>
      <c r="G377" s="66"/>
      <c r="H377" s="67"/>
      <c r="I377" s="67"/>
      <c r="J377" s="67"/>
      <c r="K377" s="67"/>
      <c r="L377" s="67"/>
      <c r="M377" s="62"/>
      <c r="N377" s="62"/>
    </row>
    <row r="378" spans="1:14" x14ac:dyDescent="0.3">
      <c r="A378" s="62"/>
      <c r="B378" s="62"/>
      <c r="C378" s="63"/>
      <c r="D378" s="64"/>
      <c r="E378" s="65"/>
      <c r="F378" s="65"/>
      <c r="G378" s="66"/>
      <c r="H378" s="67"/>
      <c r="I378" s="67"/>
      <c r="J378" s="67"/>
      <c r="K378" s="67"/>
      <c r="L378" s="67"/>
      <c r="M378" s="62"/>
      <c r="N378" s="62"/>
    </row>
    <row r="379" spans="1:14" x14ac:dyDescent="0.3">
      <c r="A379" s="62"/>
      <c r="B379" s="62"/>
      <c r="C379" s="63"/>
      <c r="D379" s="64"/>
      <c r="E379" s="65"/>
      <c r="F379" s="65"/>
      <c r="G379" s="66"/>
      <c r="H379" s="67"/>
      <c r="I379" s="67"/>
      <c r="J379" s="67"/>
      <c r="K379" s="67"/>
      <c r="L379" s="67"/>
      <c r="M379" s="62"/>
      <c r="N379" s="62"/>
    </row>
    <row r="380" spans="1:14" x14ac:dyDescent="0.3">
      <c r="A380" s="62"/>
      <c r="B380" s="62"/>
      <c r="C380" s="63"/>
      <c r="D380" s="64"/>
      <c r="E380" s="65"/>
      <c r="F380" s="65"/>
      <c r="G380" s="66"/>
      <c r="H380" s="67"/>
      <c r="I380" s="67"/>
      <c r="J380" s="67"/>
      <c r="K380" s="67"/>
      <c r="L380" s="67"/>
      <c r="M380" s="62"/>
      <c r="N380" s="62"/>
    </row>
    <row r="381" spans="1:14" x14ac:dyDescent="0.3">
      <c r="A381" s="62"/>
      <c r="B381" s="62"/>
      <c r="C381" s="63"/>
      <c r="D381" s="64"/>
      <c r="E381" s="65"/>
      <c r="F381" s="65"/>
      <c r="G381" s="66"/>
      <c r="H381" s="67"/>
      <c r="I381" s="67"/>
      <c r="J381" s="67"/>
      <c r="K381" s="67"/>
      <c r="L381" s="67"/>
      <c r="M381" s="62"/>
      <c r="N381" s="62"/>
    </row>
    <row r="382" spans="1:14" x14ac:dyDescent="0.3">
      <c r="A382" s="62"/>
      <c r="B382" s="62"/>
      <c r="C382" s="63"/>
      <c r="D382" s="64"/>
      <c r="E382" s="65"/>
      <c r="F382" s="65"/>
      <c r="G382" s="66"/>
      <c r="H382" s="67"/>
      <c r="I382" s="67"/>
      <c r="J382" s="67"/>
      <c r="K382" s="67"/>
      <c r="L382" s="67"/>
      <c r="M382" s="62"/>
      <c r="N382" s="62"/>
    </row>
    <row r="383" spans="1:14" x14ac:dyDescent="0.3">
      <c r="A383" s="62"/>
      <c r="B383" s="62"/>
      <c r="C383" s="63"/>
      <c r="D383" s="64"/>
      <c r="E383" s="65"/>
      <c r="F383" s="65"/>
      <c r="G383" s="66"/>
      <c r="H383" s="67"/>
      <c r="I383" s="67"/>
      <c r="J383" s="67"/>
      <c r="K383" s="67"/>
      <c r="L383" s="67"/>
      <c r="M383" s="62"/>
      <c r="N383" s="62"/>
    </row>
    <row r="384" spans="1:14" x14ac:dyDescent="0.3">
      <c r="A384" s="62"/>
      <c r="B384" s="62"/>
      <c r="C384" s="63"/>
      <c r="D384" s="64"/>
      <c r="E384" s="65"/>
      <c r="F384" s="65"/>
      <c r="G384" s="66"/>
      <c r="H384" s="67"/>
      <c r="I384" s="67"/>
      <c r="J384" s="67"/>
      <c r="K384" s="67"/>
      <c r="L384" s="67"/>
      <c r="M384" s="62"/>
      <c r="N384" s="62"/>
    </row>
    <row r="385" spans="1:14" x14ac:dyDescent="0.3">
      <c r="A385" s="62"/>
      <c r="B385" s="62"/>
      <c r="C385" s="63"/>
      <c r="D385" s="64"/>
      <c r="E385" s="65"/>
      <c r="F385" s="65"/>
      <c r="G385" s="66"/>
      <c r="H385" s="67"/>
      <c r="I385" s="67"/>
      <c r="J385" s="67"/>
      <c r="K385" s="67"/>
      <c r="L385" s="67"/>
      <c r="M385" s="62"/>
      <c r="N385" s="62"/>
    </row>
    <row r="386" spans="1:14" x14ac:dyDescent="0.3">
      <c r="A386" s="62"/>
      <c r="B386" s="62"/>
      <c r="C386" s="63"/>
      <c r="D386" s="64"/>
      <c r="E386" s="65"/>
      <c r="F386" s="65"/>
      <c r="G386" s="66"/>
      <c r="H386" s="67"/>
      <c r="I386" s="67"/>
      <c r="J386" s="67"/>
      <c r="K386" s="67"/>
      <c r="L386" s="67"/>
      <c r="M386" s="62"/>
      <c r="N386" s="62"/>
    </row>
    <row r="387" spans="1:14" x14ac:dyDescent="0.3">
      <c r="A387" s="62"/>
      <c r="B387" s="62"/>
      <c r="C387" s="63"/>
      <c r="D387" s="64"/>
      <c r="E387" s="65"/>
      <c r="F387" s="65"/>
      <c r="G387" s="66"/>
      <c r="H387" s="67"/>
      <c r="I387" s="67"/>
      <c r="J387" s="67"/>
      <c r="K387" s="67"/>
      <c r="L387" s="67"/>
      <c r="M387" s="62"/>
      <c r="N387" s="62"/>
    </row>
    <row r="388" spans="1:14" x14ac:dyDescent="0.3">
      <c r="A388" s="62"/>
      <c r="B388" s="62"/>
      <c r="C388" s="63"/>
      <c r="D388" s="64"/>
      <c r="E388" s="65"/>
      <c r="F388" s="65"/>
      <c r="G388" s="66"/>
      <c r="H388" s="67"/>
      <c r="I388" s="67"/>
      <c r="J388" s="67"/>
      <c r="K388" s="67"/>
      <c r="L388" s="67"/>
      <c r="M388" s="62"/>
      <c r="N388" s="62"/>
    </row>
    <row r="389" spans="1:14" x14ac:dyDescent="0.3">
      <c r="A389" s="62"/>
      <c r="B389" s="62"/>
      <c r="C389" s="63"/>
      <c r="D389" s="64"/>
      <c r="E389" s="65"/>
      <c r="F389" s="65"/>
      <c r="G389" s="66"/>
      <c r="H389" s="67"/>
      <c r="I389" s="67"/>
      <c r="J389" s="67"/>
      <c r="K389" s="67"/>
      <c r="L389" s="67"/>
      <c r="M389" s="62"/>
      <c r="N389" s="62"/>
    </row>
    <row r="390" spans="1:14" x14ac:dyDescent="0.3">
      <c r="A390" s="62"/>
      <c r="B390" s="62"/>
      <c r="C390" s="63"/>
      <c r="D390" s="64"/>
      <c r="E390" s="65"/>
      <c r="F390" s="65"/>
      <c r="G390" s="66"/>
      <c r="H390" s="67"/>
      <c r="I390" s="67"/>
      <c r="J390" s="67"/>
      <c r="K390" s="67"/>
      <c r="L390" s="67"/>
      <c r="M390" s="62"/>
      <c r="N390" s="62"/>
    </row>
    <row r="391" spans="1:14" x14ac:dyDescent="0.3">
      <c r="A391" s="62"/>
      <c r="B391" s="62"/>
      <c r="C391" s="63"/>
      <c r="D391" s="64"/>
      <c r="E391" s="65"/>
      <c r="F391" s="65"/>
      <c r="G391" s="66"/>
      <c r="H391" s="67"/>
      <c r="I391" s="67"/>
      <c r="J391" s="67"/>
      <c r="K391" s="67"/>
      <c r="L391" s="67"/>
      <c r="M391" s="62"/>
      <c r="N391" s="62"/>
    </row>
    <row r="392" spans="1:14" x14ac:dyDescent="0.3">
      <c r="A392" s="62"/>
      <c r="B392" s="62"/>
      <c r="C392" s="63"/>
      <c r="D392" s="64"/>
      <c r="E392" s="65"/>
      <c r="F392" s="65"/>
      <c r="G392" s="66"/>
      <c r="H392" s="67"/>
      <c r="I392" s="67"/>
      <c r="J392" s="67"/>
      <c r="K392" s="67"/>
      <c r="L392" s="67"/>
      <c r="M392" s="62"/>
      <c r="N392" s="62"/>
    </row>
    <row r="393" spans="1:14" x14ac:dyDescent="0.3">
      <c r="A393" s="62"/>
      <c r="B393" s="62"/>
      <c r="C393" s="63"/>
      <c r="D393" s="64"/>
      <c r="E393" s="65"/>
      <c r="F393" s="65"/>
      <c r="G393" s="66"/>
      <c r="H393" s="67"/>
      <c r="I393" s="67"/>
      <c r="J393" s="67"/>
      <c r="K393" s="67"/>
      <c r="L393" s="67"/>
      <c r="M393" s="62"/>
      <c r="N393" s="62"/>
    </row>
    <row r="394" spans="1:14" x14ac:dyDescent="0.3">
      <c r="A394" s="62"/>
      <c r="B394" s="62"/>
      <c r="C394" s="63"/>
      <c r="D394" s="64"/>
      <c r="E394" s="65"/>
      <c r="F394" s="65"/>
      <c r="G394" s="66"/>
      <c r="H394" s="67"/>
      <c r="I394" s="67"/>
      <c r="J394" s="67"/>
      <c r="K394" s="67"/>
      <c r="L394" s="67"/>
      <c r="M394" s="62"/>
      <c r="N394" s="62"/>
    </row>
    <row r="395" spans="1:14" x14ac:dyDescent="0.3">
      <c r="A395" s="62"/>
      <c r="B395" s="62"/>
      <c r="C395" s="63"/>
      <c r="D395" s="64"/>
      <c r="E395" s="65"/>
      <c r="F395" s="65"/>
      <c r="G395" s="66"/>
      <c r="H395" s="67"/>
      <c r="I395" s="67"/>
      <c r="J395" s="67"/>
      <c r="K395" s="67"/>
      <c r="L395" s="67"/>
      <c r="M395" s="62"/>
      <c r="N395" s="62"/>
    </row>
    <row r="396" spans="1:14" x14ac:dyDescent="0.3">
      <c r="A396" s="62"/>
      <c r="B396" s="62"/>
      <c r="C396" s="63"/>
      <c r="D396" s="64"/>
      <c r="E396" s="65"/>
      <c r="F396" s="65"/>
      <c r="G396" s="66"/>
      <c r="H396" s="67"/>
      <c r="I396" s="67"/>
      <c r="J396" s="67"/>
      <c r="K396" s="67"/>
      <c r="L396" s="67"/>
      <c r="M396" s="62"/>
      <c r="N396" s="62"/>
    </row>
    <row r="397" spans="1:14" x14ac:dyDescent="0.3">
      <c r="A397" s="62"/>
      <c r="B397" s="62"/>
      <c r="C397" s="63"/>
      <c r="D397" s="64"/>
      <c r="E397" s="65"/>
      <c r="F397" s="65"/>
      <c r="G397" s="66"/>
      <c r="H397" s="67"/>
      <c r="I397" s="67"/>
      <c r="J397" s="67"/>
      <c r="K397" s="67"/>
      <c r="L397" s="67"/>
      <c r="M397" s="62"/>
      <c r="N397" s="62"/>
    </row>
    <row r="398" spans="1:14" x14ac:dyDescent="0.3">
      <c r="A398" s="62"/>
      <c r="B398" s="62"/>
      <c r="C398" s="63"/>
      <c r="D398" s="64"/>
      <c r="E398" s="65"/>
      <c r="F398" s="65"/>
      <c r="G398" s="66"/>
      <c r="H398" s="67"/>
      <c r="I398" s="67"/>
      <c r="J398" s="67"/>
      <c r="K398" s="67"/>
      <c r="L398" s="67"/>
      <c r="M398" s="62"/>
      <c r="N398" s="62"/>
    </row>
    <row r="399" spans="1:14" x14ac:dyDescent="0.3">
      <c r="A399" s="62"/>
      <c r="B399" s="62"/>
      <c r="C399" s="63"/>
      <c r="D399" s="64"/>
      <c r="E399" s="65"/>
      <c r="F399" s="65"/>
      <c r="G399" s="66"/>
      <c r="H399" s="67"/>
      <c r="I399" s="67"/>
      <c r="J399" s="67"/>
      <c r="K399" s="67"/>
      <c r="L399" s="67"/>
      <c r="M399" s="62"/>
      <c r="N399" s="62"/>
    </row>
    <row r="400" spans="1:14" x14ac:dyDescent="0.3">
      <c r="A400" s="62"/>
      <c r="B400" s="62"/>
      <c r="C400" s="63"/>
      <c r="D400" s="64"/>
      <c r="E400" s="65"/>
      <c r="F400" s="65"/>
      <c r="G400" s="66"/>
      <c r="H400" s="67"/>
      <c r="I400" s="67"/>
      <c r="J400" s="67"/>
      <c r="K400" s="67"/>
      <c r="L400" s="67"/>
      <c r="M400" s="62"/>
      <c r="N400" s="62"/>
    </row>
    <row r="401" spans="1:14" x14ac:dyDescent="0.3">
      <c r="A401" s="62"/>
      <c r="B401" s="62"/>
      <c r="C401" s="63"/>
      <c r="D401" s="64"/>
      <c r="E401" s="65"/>
      <c r="F401" s="65"/>
      <c r="G401" s="66"/>
      <c r="H401" s="67"/>
      <c r="I401" s="67"/>
      <c r="J401" s="67"/>
      <c r="K401" s="67"/>
      <c r="L401" s="67"/>
      <c r="M401" s="62"/>
      <c r="N401" s="62"/>
    </row>
    <row r="402" spans="1:14" x14ac:dyDescent="0.3">
      <c r="A402" s="62"/>
      <c r="B402" s="62"/>
      <c r="C402" s="63"/>
      <c r="D402" s="64"/>
      <c r="E402" s="65"/>
      <c r="F402" s="65"/>
      <c r="G402" s="66"/>
      <c r="H402" s="67"/>
      <c r="I402" s="67"/>
      <c r="J402" s="67"/>
      <c r="K402" s="67"/>
      <c r="L402" s="67"/>
      <c r="M402" s="62"/>
      <c r="N402" s="62"/>
    </row>
    <row r="403" spans="1:14" x14ac:dyDescent="0.3">
      <c r="A403" s="62"/>
      <c r="B403" s="62"/>
      <c r="C403" s="63"/>
      <c r="D403" s="64"/>
      <c r="E403" s="65"/>
      <c r="F403" s="65"/>
      <c r="G403" s="66"/>
      <c r="H403" s="67"/>
      <c r="I403" s="67"/>
      <c r="J403" s="67"/>
      <c r="K403" s="67"/>
      <c r="L403" s="67"/>
      <c r="M403" s="62"/>
      <c r="N403" s="62"/>
    </row>
    <row r="404" spans="1:14" x14ac:dyDescent="0.3">
      <c r="A404" s="62"/>
      <c r="B404" s="62"/>
      <c r="C404" s="63"/>
      <c r="D404" s="64"/>
      <c r="E404" s="65"/>
      <c r="F404" s="65"/>
      <c r="G404" s="66"/>
      <c r="H404" s="67"/>
      <c r="I404" s="67"/>
      <c r="J404" s="67"/>
      <c r="K404" s="67"/>
      <c r="L404" s="67"/>
      <c r="M404" s="62"/>
      <c r="N404" s="62"/>
    </row>
    <row r="405" spans="1:14" x14ac:dyDescent="0.3">
      <c r="A405" s="62"/>
      <c r="B405" s="62"/>
      <c r="C405" s="63"/>
      <c r="D405" s="64"/>
      <c r="E405" s="65"/>
      <c r="F405" s="65"/>
      <c r="G405" s="66"/>
      <c r="H405" s="67"/>
      <c r="I405" s="67"/>
      <c r="J405" s="67"/>
      <c r="K405" s="67"/>
      <c r="L405" s="67"/>
      <c r="M405" s="62"/>
      <c r="N405" s="62"/>
    </row>
    <row r="406" spans="1:14" x14ac:dyDescent="0.3">
      <c r="A406" s="62"/>
      <c r="B406" s="62"/>
      <c r="C406" s="63"/>
      <c r="D406" s="64"/>
      <c r="E406" s="65"/>
      <c r="F406" s="65"/>
      <c r="G406" s="66"/>
      <c r="H406" s="67"/>
      <c r="I406" s="67"/>
      <c r="J406" s="67"/>
      <c r="K406" s="67"/>
      <c r="L406" s="67"/>
      <c r="M406" s="62"/>
      <c r="N406" s="62"/>
    </row>
    <row r="407" spans="1:14" x14ac:dyDescent="0.3">
      <c r="A407" s="62"/>
      <c r="B407" s="62"/>
      <c r="C407" s="63"/>
      <c r="D407" s="64"/>
      <c r="E407" s="65"/>
      <c r="F407" s="65"/>
      <c r="G407" s="66"/>
      <c r="H407" s="67"/>
      <c r="I407" s="67"/>
      <c r="J407" s="67"/>
      <c r="K407" s="67"/>
      <c r="L407" s="67"/>
      <c r="M407" s="62"/>
      <c r="N407" s="62"/>
    </row>
    <row r="408" spans="1:14" x14ac:dyDescent="0.3">
      <c r="A408" s="62"/>
      <c r="B408" s="62"/>
      <c r="C408" s="63"/>
      <c r="D408" s="64"/>
      <c r="E408" s="65"/>
      <c r="F408" s="65"/>
      <c r="G408" s="66"/>
      <c r="H408" s="67"/>
      <c r="I408" s="67"/>
      <c r="J408" s="67"/>
      <c r="K408" s="67"/>
      <c r="L408" s="67"/>
      <c r="M408" s="62"/>
      <c r="N408" s="62"/>
    </row>
    <row r="409" spans="1:14" x14ac:dyDescent="0.3">
      <c r="A409" s="62"/>
      <c r="B409" s="62"/>
      <c r="C409" s="63"/>
      <c r="D409" s="64"/>
      <c r="E409" s="65"/>
      <c r="F409" s="65"/>
      <c r="G409" s="66"/>
      <c r="H409" s="67"/>
      <c r="I409" s="67"/>
      <c r="J409" s="67"/>
      <c r="K409" s="67"/>
      <c r="L409" s="67"/>
      <c r="M409" s="62"/>
      <c r="N409" s="62"/>
    </row>
    <row r="410" spans="1:14" x14ac:dyDescent="0.3">
      <c r="A410" s="62"/>
      <c r="B410" s="62"/>
      <c r="C410" s="63"/>
      <c r="D410" s="64"/>
      <c r="E410" s="65"/>
      <c r="F410" s="65"/>
      <c r="G410" s="66"/>
      <c r="H410" s="67"/>
      <c r="I410" s="67"/>
      <c r="J410" s="67"/>
      <c r="K410" s="67"/>
      <c r="L410" s="67"/>
      <c r="M410" s="62"/>
      <c r="N410" s="62"/>
    </row>
    <row r="411" spans="1:14" x14ac:dyDescent="0.3">
      <c r="A411" s="62"/>
      <c r="B411" s="62"/>
      <c r="C411" s="63"/>
      <c r="D411" s="64"/>
      <c r="E411" s="65"/>
      <c r="F411" s="65"/>
      <c r="G411" s="66"/>
      <c r="H411" s="67"/>
      <c r="I411" s="67"/>
      <c r="J411" s="67"/>
      <c r="K411" s="67"/>
      <c r="L411" s="67"/>
      <c r="M411" s="62"/>
      <c r="N411" s="62"/>
    </row>
    <row r="412" spans="1:14" x14ac:dyDescent="0.3">
      <c r="A412" s="62"/>
      <c r="B412" s="62"/>
      <c r="C412" s="63"/>
      <c r="D412" s="64"/>
      <c r="E412" s="65"/>
      <c r="F412" s="65"/>
      <c r="G412" s="66"/>
      <c r="H412" s="67"/>
      <c r="I412" s="67"/>
      <c r="J412" s="67"/>
      <c r="K412" s="67"/>
      <c r="L412" s="67"/>
      <c r="M412" s="62"/>
      <c r="N412" s="62"/>
    </row>
    <row r="413" spans="1:14" x14ac:dyDescent="0.3">
      <c r="A413" s="62"/>
      <c r="B413" s="62"/>
      <c r="C413" s="63"/>
      <c r="D413" s="64"/>
      <c r="E413" s="65"/>
      <c r="F413" s="65"/>
      <c r="G413" s="66"/>
      <c r="H413" s="67"/>
      <c r="I413" s="67"/>
      <c r="J413" s="67"/>
      <c r="K413" s="67"/>
      <c r="L413" s="67"/>
      <c r="M413" s="62"/>
      <c r="N413" s="62"/>
    </row>
    <row r="414" spans="1:14" x14ac:dyDescent="0.3">
      <c r="A414" s="62"/>
      <c r="B414" s="62"/>
      <c r="C414" s="63"/>
      <c r="D414" s="64"/>
      <c r="E414" s="65"/>
      <c r="F414" s="65"/>
      <c r="G414" s="66"/>
      <c r="H414" s="67"/>
      <c r="I414" s="67"/>
      <c r="J414" s="67"/>
      <c r="K414" s="67"/>
      <c r="L414" s="67"/>
      <c r="M414" s="62"/>
      <c r="N414" s="62"/>
    </row>
    <row r="415" spans="1:14" x14ac:dyDescent="0.3">
      <c r="A415" s="62"/>
      <c r="B415" s="62"/>
      <c r="C415" s="63"/>
      <c r="D415" s="64"/>
      <c r="E415" s="65"/>
      <c r="F415" s="65"/>
      <c r="G415" s="66"/>
      <c r="H415" s="67"/>
      <c r="I415" s="67"/>
      <c r="J415" s="67"/>
      <c r="K415" s="67"/>
      <c r="L415" s="67"/>
      <c r="M415" s="62"/>
      <c r="N415" s="62"/>
    </row>
    <row r="416" spans="1:14" x14ac:dyDescent="0.3">
      <c r="A416" s="62"/>
      <c r="B416" s="62"/>
      <c r="C416" s="63"/>
      <c r="D416" s="64"/>
      <c r="E416" s="65"/>
      <c r="F416" s="65"/>
      <c r="G416" s="66"/>
      <c r="H416" s="67"/>
      <c r="I416" s="67"/>
      <c r="J416" s="67"/>
      <c r="K416" s="67"/>
      <c r="L416" s="67"/>
      <c r="M416" s="62"/>
      <c r="N416" s="62"/>
    </row>
    <row r="417" spans="1:14" x14ac:dyDescent="0.3">
      <c r="A417" s="62"/>
      <c r="B417" s="62"/>
      <c r="C417" s="63"/>
      <c r="D417" s="64"/>
      <c r="E417" s="65"/>
      <c r="F417" s="65"/>
      <c r="G417" s="66"/>
      <c r="H417" s="67"/>
      <c r="I417" s="67"/>
      <c r="J417" s="67"/>
      <c r="K417" s="67"/>
      <c r="L417" s="67"/>
      <c r="M417" s="62"/>
      <c r="N417" s="62"/>
    </row>
    <row r="418" spans="1:14" x14ac:dyDescent="0.3">
      <c r="A418" s="62"/>
      <c r="B418" s="62"/>
      <c r="C418" s="63"/>
      <c r="D418" s="64"/>
      <c r="E418" s="65"/>
      <c r="F418" s="65"/>
      <c r="G418" s="66"/>
      <c r="H418" s="67"/>
      <c r="I418" s="67"/>
      <c r="J418" s="67"/>
      <c r="K418" s="67"/>
      <c r="L418" s="67"/>
      <c r="M418" s="62"/>
      <c r="N418" s="62"/>
    </row>
    <row r="419" spans="1:14" x14ac:dyDescent="0.3">
      <c r="A419" s="62"/>
      <c r="B419" s="62"/>
      <c r="C419" s="63"/>
      <c r="D419" s="64"/>
      <c r="E419" s="65"/>
      <c r="F419" s="65"/>
      <c r="G419" s="66"/>
      <c r="H419" s="67"/>
      <c r="I419" s="67"/>
      <c r="J419" s="67"/>
      <c r="K419" s="67"/>
      <c r="L419" s="67"/>
      <c r="M419" s="62"/>
      <c r="N419" s="62"/>
    </row>
    <row r="420" spans="1:14" x14ac:dyDescent="0.3">
      <c r="A420" s="62"/>
      <c r="B420" s="62"/>
      <c r="C420" s="63"/>
      <c r="D420" s="64"/>
      <c r="E420" s="65"/>
      <c r="F420" s="65"/>
      <c r="G420" s="66"/>
      <c r="H420" s="67"/>
      <c r="I420" s="67"/>
      <c r="J420" s="67"/>
      <c r="K420" s="67"/>
      <c r="L420" s="67"/>
      <c r="M420" s="62"/>
      <c r="N420" s="62"/>
    </row>
    <row r="421" spans="1:14" x14ac:dyDescent="0.3">
      <c r="A421" s="62"/>
      <c r="B421" s="62"/>
      <c r="C421" s="63"/>
      <c r="D421" s="64"/>
      <c r="E421" s="65"/>
      <c r="F421" s="65"/>
      <c r="G421" s="66"/>
      <c r="H421" s="67"/>
      <c r="I421" s="67"/>
      <c r="J421" s="67"/>
      <c r="K421" s="67"/>
      <c r="L421" s="67"/>
      <c r="M421" s="62"/>
      <c r="N421" s="62"/>
    </row>
    <row r="422" spans="1:14" x14ac:dyDescent="0.3">
      <c r="A422" s="62"/>
      <c r="B422" s="62"/>
      <c r="C422" s="63"/>
      <c r="D422" s="64"/>
      <c r="E422" s="65"/>
      <c r="F422" s="65"/>
      <c r="G422" s="66"/>
      <c r="H422" s="67"/>
      <c r="I422" s="67"/>
      <c r="J422" s="67"/>
      <c r="K422" s="67"/>
      <c r="L422" s="67"/>
      <c r="M422" s="62"/>
      <c r="N422" s="62"/>
    </row>
    <row r="423" spans="1:14" x14ac:dyDescent="0.3">
      <c r="A423" s="62"/>
      <c r="B423" s="62"/>
      <c r="C423" s="63"/>
      <c r="D423" s="64"/>
      <c r="E423" s="65"/>
      <c r="F423" s="65"/>
      <c r="G423" s="66"/>
      <c r="H423" s="67"/>
      <c r="I423" s="67"/>
      <c r="J423" s="67"/>
      <c r="K423" s="67"/>
      <c r="L423" s="67"/>
      <c r="M423" s="62"/>
      <c r="N423" s="62"/>
    </row>
    <row r="424" spans="1:14" x14ac:dyDescent="0.3">
      <c r="A424" s="62"/>
      <c r="B424" s="62"/>
      <c r="C424" s="63"/>
      <c r="D424" s="64"/>
      <c r="E424" s="65"/>
      <c r="F424" s="65"/>
      <c r="G424" s="66"/>
      <c r="H424" s="67"/>
      <c r="I424" s="67"/>
      <c r="J424" s="67"/>
      <c r="K424" s="67"/>
      <c r="L424" s="67"/>
      <c r="M424" s="62"/>
      <c r="N424" s="62"/>
    </row>
    <row r="425" spans="1:14" x14ac:dyDescent="0.3">
      <c r="A425" s="62"/>
      <c r="B425" s="62"/>
      <c r="C425" s="63"/>
      <c r="D425" s="64"/>
      <c r="E425" s="65"/>
      <c r="F425" s="65"/>
      <c r="G425" s="66"/>
      <c r="H425" s="67"/>
      <c r="I425" s="67"/>
      <c r="J425" s="67"/>
      <c r="K425" s="67"/>
      <c r="L425" s="67"/>
      <c r="M425" s="62"/>
      <c r="N425" s="62"/>
    </row>
    <row r="426" spans="1:14" x14ac:dyDescent="0.3">
      <c r="A426" s="62"/>
      <c r="B426" s="62"/>
      <c r="C426" s="63"/>
      <c r="D426" s="64"/>
      <c r="E426" s="65"/>
      <c r="F426" s="65"/>
      <c r="G426" s="66"/>
      <c r="H426" s="67"/>
      <c r="I426" s="67"/>
      <c r="J426" s="67"/>
      <c r="K426" s="67"/>
      <c r="L426" s="67"/>
      <c r="M426" s="62"/>
      <c r="N426" s="62"/>
    </row>
    <row r="427" spans="1:14" x14ac:dyDescent="0.3">
      <c r="A427" s="62"/>
      <c r="B427" s="62"/>
      <c r="C427" s="63"/>
      <c r="D427" s="64"/>
      <c r="E427" s="65"/>
      <c r="F427" s="65"/>
      <c r="G427" s="66"/>
      <c r="H427" s="67"/>
      <c r="I427" s="67"/>
      <c r="J427" s="67"/>
      <c r="K427" s="67"/>
      <c r="L427" s="67"/>
      <c r="M427" s="62"/>
      <c r="N427" s="62"/>
    </row>
    <row r="428" spans="1:14" x14ac:dyDescent="0.3">
      <c r="A428" s="62"/>
      <c r="B428" s="62"/>
      <c r="C428" s="63"/>
      <c r="D428" s="64"/>
      <c r="E428" s="65"/>
      <c r="F428" s="65"/>
      <c r="G428" s="66"/>
      <c r="H428" s="67"/>
      <c r="I428" s="67"/>
      <c r="J428" s="67"/>
      <c r="K428" s="67"/>
      <c r="L428" s="67"/>
      <c r="M428" s="62"/>
      <c r="N428" s="62"/>
    </row>
    <row r="429" spans="1:14" x14ac:dyDescent="0.3">
      <c r="A429" s="62"/>
      <c r="B429" s="62"/>
      <c r="C429" s="63"/>
      <c r="D429" s="64"/>
      <c r="E429" s="65"/>
      <c r="F429" s="65"/>
      <c r="G429" s="66"/>
      <c r="H429" s="67"/>
      <c r="I429" s="67"/>
      <c r="J429" s="67"/>
      <c r="K429" s="67"/>
      <c r="L429" s="67"/>
      <c r="M429" s="62"/>
      <c r="N429" s="62"/>
    </row>
    <row r="430" spans="1:14" x14ac:dyDescent="0.3">
      <c r="A430" s="62"/>
      <c r="B430" s="62"/>
      <c r="C430" s="63"/>
      <c r="D430" s="64"/>
      <c r="E430" s="65"/>
      <c r="F430" s="65"/>
      <c r="G430" s="66"/>
      <c r="H430" s="67"/>
      <c r="I430" s="67"/>
      <c r="J430" s="67"/>
      <c r="K430" s="67"/>
      <c r="L430" s="67"/>
      <c r="M430" s="62"/>
      <c r="N430" s="62"/>
    </row>
    <row r="431" spans="1:14" x14ac:dyDescent="0.3">
      <c r="A431" s="62"/>
      <c r="B431" s="62"/>
      <c r="C431" s="63"/>
      <c r="D431" s="64"/>
      <c r="E431" s="65"/>
      <c r="F431" s="65"/>
      <c r="G431" s="66"/>
      <c r="H431" s="67"/>
      <c r="I431" s="67"/>
      <c r="J431" s="67"/>
      <c r="K431" s="67"/>
      <c r="L431" s="67"/>
      <c r="M431" s="62"/>
      <c r="N431" s="62"/>
    </row>
    <row r="432" spans="1:14" x14ac:dyDescent="0.3">
      <c r="A432" s="62"/>
      <c r="B432" s="62"/>
      <c r="C432" s="63"/>
      <c r="D432" s="64"/>
      <c r="E432" s="65"/>
      <c r="F432" s="65"/>
      <c r="G432" s="66"/>
      <c r="H432" s="67"/>
      <c r="I432" s="67"/>
      <c r="J432" s="67"/>
      <c r="K432" s="67"/>
      <c r="L432" s="67"/>
      <c r="M432" s="62"/>
      <c r="N432" s="62"/>
    </row>
    <row r="433" spans="1:14" x14ac:dyDescent="0.3">
      <c r="A433" s="62"/>
      <c r="B433" s="62"/>
      <c r="C433" s="63"/>
      <c r="D433" s="64"/>
      <c r="E433" s="65"/>
      <c r="F433" s="65"/>
      <c r="G433" s="66"/>
      <c r="H433" s="67"/>
      <c r="I433" s="67"/>
      <c r="J433" s="67"/>
      <c r="K433" s="67"/>
      <c r="L433" s="67"/>
      <c r="M433" s="62"/>
      <c r="N433" s="62"/>
    </row>
    <row r="434" spans="1:14" x14ac:dyDescent="0.3">
      <c r="A434" s="62"/>
      <c r="B434" s="62"/>
      <c r="C434" s="63"/>
      <c r="D434" s="64"/>
      <c r="E434" s="65"/>
      <c r="F434" s="65"/>
      <c r="G434" s="66"/>
      <c r="H434" s="67"/>
      <c r="I434" s="67"/>
      <c r="J434" s="67"/>
      <c r="K434" s="67"/>
      <c r="L434" s="67"/>
      <c r="M434" s="62"/>
      <c r="N434" s="62"/>
    </row>
    <row r="435" spans="1:14" x14ac:dyDescent="0.3">
      <c r="A435" s="62"/>
      <c r="B435" s="62"/>
      <c r="C435" s="63"/>
      <c r="D435" s="64"/>
      <c r="E435" s="65"/>
      <c r="F435" s="65"/>
      <c r="G435" s="66"/>
      <c r="H435" s="67"/>
      <c r="I435" s="67"/>
      <c r="J435" s="67"/>
      <c r="K435" s="67"/>
      <c r="L435" s="67"/>
      <c r="M435" s="62"/>
      <c r="N435" s="62"/>
    </row>
    <row r="436" spans="1:14" x14ac:dyDescent="0.3">
      <c r="A436" s="62"/>
      <c r="B436" s="62"/>
      <c r="C436" s="63"/>
      <c r="D436" s="64"/>
      <c r="E436" s="65"/>
      <c r="F436" s="65"/>
      <c r="G436" s="66"/>
      <c r="H436" s="67"/>
      <c r="I436" s="67"/>
      <c r="J436" s="67"/>
      <c r="K436" s="67"/>
      <c r="L436" s="67"/>
      <c r="M436" s="62"/>
      <c r="N436" s="62"/>
    </row>
    <row r="437" spans="1:14" x14ac:dyDescent="0.3">
      <c r="A437" s="62"/>
      <c r="B437" s="62"/>
      <c r="C437" s="63"/>
      <c r="D437" s="64"/>
      <c r="E437" s="65"/>
      <c r="F437" s="65"/>
      <c r="G437" s="66"/>
      <c r="H437" s="67"/>
      <c r="I437" s="67"/>
      <c r="J437" s="67"/>
      <c r="K437" s="67"/>
      <c r="L437" s="67"/>
      <c r="M437" s="62"/>
      <c r="N437" s="62"/>
    </row>
    <row r="438" spans="1:14" x14ac:dyDescent="0.3">
      <c r="A438" s="62"/>
      <c r="B438" s="62"/>
      <c r="C438" s="63"/>
      <c r="D438" s="64"/>
      <c r="E438" s="65"/>
      <c r="F438" s="65"/>
      <c r="G438" s="66"/>
      <c r="H438" s="67"/>
      <c r="I438" s="67"/>
      <c r="J438" s="67"/>
      <c r="K438" s="67"/>
      <c r="L438" s="67"/>
      <c r="M438" s="62"/>
      <c r="N438" s="62"/>
    </row>
    <row r="439" spans="1:14" x14ac:dyDescent="0.3">
      <c r="A439" s="62"/>
      <c r="B439" s="62"/>
      <c r="C439" s="63"/>
      <c r="D439" s="64"/>
      <c r="E439" s="65"/>
      <c r="F439" s="65"/>
      <c r="G439" s="66"/>
      <c r="H439" s="67"/>
      <c r="I439" s="67"/>
      <c r="J439" s="67"/>
      <c r="K439" s="67"/>
      <c r="L439" s="67"/>
      <c r="M439" s="62"/>
      <c r="N439" s="62"/>
    </row>
    <row r="440" spans="1:14" x14ac:dyDescent="0.3">
      <c r="A440" s="62"/>
      <c r="B440" s="62"/>
      <c r="C440" s="63"/>
      <c r="D440" s="64"/>
      <c r="E440" s="65"/>
      <c r="F440" s="65"/>
      <c r="G440" s="66"/>
      <c r="H440" s="67"/>
      <c r="I440" s="67"/>
      <c r="J440" s="67"/>
      <c r="K440" s="67"/>
      <c r="L440" s="67"/>
      <c r="M440" s="62"/>
      <c r="N440" s="62"/>
    </row>
    <row r="441" spans="1:14" x14ac:dyDescent="0.3">
      <c r="A441" s="62"/>
      <c r="B441" s="62"/>
      <c r="C441" s="63"/>
      <c r="D441" s="64"/>
      <c r="E441" s="65"/>
      <c r="F441" s="65"/>
      <c r="G441" s="66"/>
      <c r="H441" s="67"/>
      <c r="I441" s="67"/>
      <c r="J441" s="67"/>
      <c r="K441" s="67"/>
      <c r="L441" s="67"/>
      <c r="M441" s="62"/>
      <c r="N441" s="62"/>
    </row>
    <row r="442" spans="1:14" x14ac:dyDescent="0.3">
      <c r="A442" s="62"/>
      <c r="B442" s="62"/>
      <c r="C442" s="63"/>
      <c r="D442" s="64"/>
      <c r="E442" s="65"/>
      <c r="F442" s="65"/>
      <c r="G442" s="66"/>
      <c r="H442" s="67"/>
      <c r="I442" s="67"/>
      <c r="J442" s="67"/>
      <c r="K442" s="67"/>
      <c r="L442" s="67"/>
      <c r="M442" s="62"/>
      <c r="N442" s="62"/>
    </row>
    <row r="443" spans="1:14" x14ac:dyDescent="0.3">
      <c r="A443" s="62"/>
      <c r="B443" s="62"/>
      <c r="C443" s="63"/>
      <c r="D443" s="64"/>
      <c r="E443" s="65"/>
      <c r="F443" s="65"/>
      <c r="G443" s="66"/>
      <c r="H443" s="67"/>
      <c r="I443" s="67"/>
      <c r="J443" s="67"/>
      <c r="K443" s="67"/>
      <c r="L443" s="67"/>
      <c r="M443" s="62"/>
      <c r="N443" s="62"/>
    </row>
    <row r="444" spans="1:14" x14ac:dyDescent="0.3">
      <c r="A444" s="62"/>
      <c r="B444" s="62"/>
      <c r="C444" s="63"/>
      <c r="D444" s="64"/>
      <c r="E444" s="65"/>
      <c r="F444" s="65"/>
      <c r="G444" s="66"/>
      <c r="H444" s="67"/>
      <c r="I444" s="67"/>
      <c r="J444" s="67"/>
      <c r="K444" s="67"/>
      <c r="L444" s="67"/>
      <c r="M444" s="62"/>
      <c r="N444" s="62"/>
    </row>
    <row r="445" spans="1:14" x14ac:dyDescent="0.3">
      <c r="A445" s="62"/>
      <c r="B445" s="62"/>
      <c r="C445" s="63"/>
      <c r="D445" s="64"/>
      <c r="E445" s="65"/>
      <c r="F445" s="65"/>
      <c r="G445" s="66"/>
      <c r="H445" s="67"/>
      <c r="I445" s="67"/>
      <c r="J445" s="67"/>
      <c r="K445" s="67"/>
      <c r="L445" s="67"/>
      <c r="M445" s="62"/>
      <c r="N445" s="62"/>
    </row>
    <row r="446" spans="1:14" x14ac:dyDescent="0.3">
      <c r="A446" s="62"/>
      <c r="B446" s="62"/>
      <c r="C446" s="63"/>
      <c r="D446" s="64"/>
      <c r="E446" s="65"/>
      <c r="F446" s="65"/>
      <c r="G446" s="66"/>
      <c r="H446" s="67"/>
      <c r="I446" s="67"/>
      <c r="J446" s="67"/>
      <c r="K446" s="67"/>
      <c r="L446" s="67"/>
      <c r="M446" s="62"/>
      <c r="N446" s="62"/>
    </row>
    <row r="447" spans="1:14" x14ac:dyDescent="0.3">
      <c r="A447" s="62"/>
      <c r="B447" s="62"/>
      <c r="C447" s="63"/>
      <c r="D447" s="64"/>
      <c r="E447" s="65"/>
      <c r="F447" s="65"/>
      <c r="G447" s="66"/>
      <c r="H447" s="67"/>
      <c r="I447" s="67"/>
      <c r="J447" s="67"/>
      <c r="K447" s="67"/>
      <c r="L447" s="67"/>
      <c r="M447" s="62"/>
      <c r="N447" s="62"/>
    </row>
    <row r="448" spans="1:14" x14ac:dyDescent="0.3">
      <c r="A448" s="62"/>
      <c r="B448" s="62"/>
      <c r="C448" s="63"/>
      <c r="D448" s="64"/>
      <c r="E448" s="65"/>
      <c r="F448" s="65"/>
      <c r="G448" s="66"/>
      <c r="H448" s="67"/>
      <c r="I448" s="67"/>
      <c r="J448" s="67"/>
      <c r="K448" s="67"/>
      <c r="L448" s="67"/>
      <c r="M448" s="62"/>
      <c r="N448" s="62"/>
    </row>
    <row r="449" spans="1:14" x14ac:dyDescent="0.3">
      <c r="A449" s="62"/>
      <c r="B449" s="62"/>
      <c r="C449" s="63"/>
      <c r="D449" s="64"/>
      <c r="E449" s="65"/>
      <c r="F449" s="65"/>
      <c r="G449" s="66"/>
      <c r="H449" s="67"/>
      <c r="I449" s="67"/>
      <c r="J449" s="67"/>
      <c r="K449" s="67"/>
      <c r="L449" s="67"/>
      <c r="M449" s="62"/>
      <c r="N449" s="62"/>
    </row>
    <row r="450" spans="1:14" x14ac:dyDescent="0.3">
      <c r="A450" s="62"/>
      <c r="B450" s="62"/>
      <c r="C450" s="63"/>
      <c r="D450" s="64"/>
      <c r="E450" s="65"/>
      <c r="F450" s="65"/>
      <c r="G450" s="66"/>
      <c r="H450" s="67"/>
      <c r="I450" s="67"/>
      <c r="J450" s="67"/>
      <c r="K450" s="67"/>
      <c r="L450" s="67"/>
      <c r="M450" s="62"/>
      <c r="N450" s="62"/>
    </row>
    <row r="451" spans="1:14" x14ac:dyDescent="0.3">
      <c r="A451" s="62"/>
      <c r="B451" s="62"/>
      <c r="C451" s="63"/>
      <c r="D451" s="64"/>
      <c r="E451" s="65"/>
      <c r="F451" s="65"/>
      <c r="G451" s="66"/>
      <c r="H451" s="67"/>
      <c r="I451" s="67"/>
      <c r="J451" s="67"/>
      <c r="K451" s="67"/>
      <c r="L451" s="67"/>
      <c r="M451" s="62"/>
      <c r="N451" s="62"/>
    </row>
    <row r="452" spans="1:14" x14ac:dyDescent="0.3">
      <c r="A452" s="62"/>
      <c r="B452" s="62"/>
      <c r="C452" s="63"/>
      <c r="D452" s="64"/>
      <c r="E452" s="65"/>
      <c r="F452" s="65"/>
      <c r="G452" s="66"/>
      <c r="H452" s="67"/>
      <c r="I452" s="67"/>
      <c r="J452" s="67"/>
      <c r="K452" s="67"/>
      <c r="L452" s="67"/>
      <c r="M452" s="62"/>
      <c r="N452" s="62"/>
    </row>
    <row r="453" spans="1:14" x14ac:dyDescent="0.3">
      <c r="A453" s="62"/>
      <c r="B453" s="62"/>
      <c r="C453" s="63"/>
      <c r="D453" s="64"/>
      <c r="E453" s="65"/>
      <c r="F453" s="65"/>
      <c r="G453" s="66"/>
      <c r="H453" s="67"/>
      <c r="I453" s="67"/>
      <c r="J453" s="67"/>
      <c r="K453" s="67"/>
      <c r="L453" s="67"/>
      <c r="M453" s="62"/>
      <c r="N453" s="62"/>
    </row>
    <row r="454" spans="1:14" x14ac:dyDescent="0.3">
      <c r="A454" s="62"/>
      <c r="B454" s="62"/>
      <c r="C454" s="63"/>
      <c r="D454" s="64"/>
      <c r="E454" s="65"/>
      <c r="F454" s="65"/>
      <c r="G454" s="66"/>
      <c r="H454" s="67"/>
      <c r="I454" s="67"/>
      <c r="J454" s="67"/>
      <c r="K454" s="67"/>
      <c r="L454" s="67"/>
      <c r="M454" s="62"/>
      <c r="N454" s="62"/>
    </row>
    <row r="455" spans="1:14" x14ac:dyDescent="0.3">
      <c r="A455" s="62"/>
      <c r="B455" s="62"/>
      <c r="C455" s="63"/>
      <c r="D455" s="64"/>
      <c r="E455" s="65"/>
      <c r="F455" s="65"/>
      <c r="G455" s="66"/>
      <c r="H455" s="67"/>
      <c r="I455" s="67"/>
      <c r="J455" s="67"/>
      <c r="K455" s="67"/>
      <c r="L455" s="67"/>
      <c r="M455" s="62"/>
      <c r="N455" s="62"/>
    </row>
    <row r="456" spans="1:14" x14ac:dyDescent="0.3">
      <c r="A456" s="62"/>
      <c r="B456" s="62"/>
      <c r="C456" s="63"/>
      <c r="D456" s="64"/>
      <c r="E456" s="65"/>
      <c r="F456" s="65"/>
      <c r="G456" s="66"/>
      <c r="H456" s="67"/>
      <c r="I456" s="67"/>
      <c r="J456" s="67"/>
      <c r="K456" s="67"/>
      <c r="L456" s="67"/>
      <c r="M456" s="62"/>
      <c r="N456" s="62"/>
    </row>
    <row r="457" spans="1:14" x14ac:dyDescent="0.3">
      <c r="A457" s="62"/>
      <c r="B457" s="62"/>
      <c r="C457" s="63"/>
      <c r="D457" s="64"/>
      <c r="E457" s="65"/>
      <c r="F457" s="65"/>
      <c r="G457" s="66"/>
      <c r="H457" s="67"/>
      <c r="I457" s="67"/>
      <c r="J457" s="67"/>
      <c r="K457" s="67"/>
      <c r="L457" s="67"/>
      <c r="M457" s="62"/>
      <c r="N457" s="62"/>
    </row>
    <row r="458" spans="1:14" x14ac:dyDescent="0.3">
      <c r="A458" s="62"/>
      <c r="B458" s="62"/>
      <c r="C458" s="63"/>
      <c r="D458" s="64"/>
      <c r="E458" s="65"/>
      <c r="F458" s="65"/>
      <c r="G458" s="66"/>
      <c r="H458" s="67"/>
      <c r="I458" s="67"/>
      <c r="J458" s="67"/>
      <c r="K458" s="67"/>
      <c r="L458" s="67"/>
      <c r="M458" s="62"/>
      <c r="N458" s="62"/>
    </row>
    <row r="459" spans="1:14" x14ac:dyDescent="0.3">
      <c r="A459" s="62"/>
      <c r="B459" s="62"/>
      <c r="C459" s="63"/>
      <c r="D459" s="64"/>
      <c r="E459" s="65"/>
      <c r="F459" s="65"/>
      <c r="G459" s="66"/>
      <c r="H459" s="67"/>
      <c r="I459" s="67"/>
      <c r="J459" s="67"/>
      <c r="K459" s="67"/>
      <c r="L459" s="67"/>
      <c r="M459" s="62"/>
      <c r="N459" s="62"/>
    </row>
    <row r="460" spans="1:14" x14ac:dyDescent="0.3">
      <c r="A460" s="62"/>
      <c r="B460" s="62"/>
      <c r="C460" s="63"/>
      <c r="D460" s="64"/>
      <c r="E460" s="65"/>
      <c r="F460" s="65"/>
      <c r="G460" s="66"/>
      <c r="H460" s="67"/>
      <c r="I460" s="67"/>
      <c r="J460" s="67"/>
      <c r="K460" s="67"/>
      <c r="L460" s="67"/>
      <c r="M460" s="62"/>
      <c r="N460" s="62"/>
    </row>
    <row r="461" spans="1:14" x14ac:dyDescent="0.3">
      <c r="A461" s="62"/>
      <c r="B461" s="62"/>
      <c r="C461" s="63"/>
      <c r="D461" s="64"/>
      <c r="E461" s="65"/>
      <c r="F461" s="65"/>
      <c r="G461" s="66"/>
      <c r="H461" s="67"/>
      <c r="I461" s="67"/>
      <c r="J461" s="67"/>
      <c r="K461" s="67"/>
      <c r="L461" s="67"/>
      <c r="M461" s="62"/>
      <c r="N461" s="62"/>
    </row>
    <row r="462" spans="1:14" x14ac:dyDescent="0.3">
      <c r="A462" s="62"/>
      <c r="B462" s="62"/>
      <c r="C462" s="63"/>
      <c r="D462" s="64"/>
      <c r="E462" s="65"/>
      <c r="F462" s="65"/>
      <c r="G462" s="66"/>
      <c r="H462" s="67"/>
      <c r="I462" s="67"/>
      <c r="J462" s="67"/>
      <c r="K462" s="67"/>
      <c r="L462" s="67"/>
      <c r="M462" s="62"/>
      <c r="N462" s="62"/>
    </row>
    <row r="463" spans="1:14" s="52" customFormat="1" x14ac:dyDescent="0.3">
      <c r="A463" s="62"/>
      <c r="B463" s="62"/>
      <c r="C463" s="63"/>
      <c r="D463" s="64"/>
      <c r="E463" s="65"/>
      <c r="F463" s="65"/>
      <c r="G463" s="66"/>
      <c r="H463" s="67"/>
      <c r="I463" s="67"/>
      <c r="J463" s="67"/>
      <c r="K463" s="67"/>
      <c r="L463" s="67"/>
      <c r="M463" s="62"/>
      <c r="N463" s="62"/>
    </row>
    <row r="464" spans="1:14" s="52" customFormat="1" x14ac:dyDescent="0.3">
      <c r="A464" s="62"/>
      <c r="B464" s="62"/>
      <c r="C464" s="63"/>
      <c r="D464" s="64"/>
      <c r="E464" s="65"/>
      <c r="F464" s="65"/>
      <c r="G464" s="66"/>
      <c r="H464" s="67"/>
      <c r="I464" s="67"/>
      <c r="J464" s="67"/>
      <c r="K464" s="67"/>
      <c r="L464" s="67"/>
      <c r="M464" s="62"/>
      <c r="N464" s="62"/>
    </row>
    <row r="465" spans="1:14" s="52" customFormat="1" x14ac:dyDescent="0.3">
      <c r="A465" s="62"/>
      <c r="B465" s="62"/>
      <c r="C465" s="63"/>
      <c r="D465" s="64"/>
      <c r="E465" s="65"/>
      <c r="F465" s="65"/>
      <c r="G465" s="66"/>
      <c r="H465" s="67"/>
      <c r="I465" s="67"/>
      <c r="J465" s="67"/>
      <c r="K465" s="67"/>
      <c r="L465" s="67"/>
      <c r="M465" s="62"/>
      <c r="N465" s="62"/>
    </row>
    <row r="466" spans="1:14" s="52" customFormat="1" x14ac:dyDescent="0.3">
      <c r="A466" s="62"/>
      <c r="B466" s="62"/>
      <c r="C466" s="63"/>
      <c r="D466" s="64"/>
      <c r="E466" s="65"/>
      <c r="F466" s="65"/>
      <c r="G466" s="66"/>
      <c r="H466" s="67"/>
      <c r="I466" s="67"/>
      <c r="J466" s="67"/>
      <c r="K466" s="67"/>
      <c r="L466" s="67"/>
      <c r="M466" s="62"/>
      <c r="N466" s="62"/>
    </row>
    <row r="467" spans="1:14" s="52" customFormat="1" x14ac:dyDescent="0.3">
      <c r="A467" s="62"/>
      <c r="B467" s="62"/>
      <c r="C467" s="63"/>
      <c r="D467" s="64"/>
      <c r="E467" s="65"/>
      <c r="F467" s="65"/>
      <c r="G467" s="66"/>
      <c r="H467" s="67"/>
      <c r="I467" s="67"/>
      <c r="J467" s="67"/>
      <c r="K467" s="67"/>
      <c r="L467" s="67"/>
      <c r="M467" s="62"/>
      <c r="N467" s="62"/>
    </row>
    <row r="468" spans="1:14" s="52" customFormat="1" x14ac:dyDescent="0.3">
      <c r="A468" s="62"/>
      <c r="B468" s="62"/>
      <c r="C468" s="63"/>
      <c r="D468" s="64"/>
      <c r="E468" s="65"/>
      <c r="F468" s="65"/>
      <c r="G468" s="66"/>
      <c r="H468" s="67"/>
      <c r="I468" s="67"/>
      <c r="J468" s="67"/>
      <c r="K468" s="67"/>
      <c r="L468" s="67"/>
      <c r="M468" s="62"/>
      <c r="N468" s="62"/>
    </row>
    <row r="469" spans="1:14" s="52" customFormat="1" x14ac:dyDescent="0.3">
      <c r="A469" s="62"/>
      <c r="B469" s="62"/>
      <c r="C469" s="63"/>
      <c r="D469" s="64"/>
      <c r="E469" s="65"/>
      <c r="F469" s="65"/>
      <c r="G469" s="66"/>
      <c r="H469" s="67"/>
      <c r="I469" s="67"/>
      <c r="J469" s="67"/>
      <c r="K469" s="67"/>
      <c r="L469" s="67"/>
      <c r="M469" s="62"/>
      <c r="N469" s="62"/>
    </row>
    <row r="470" spans="1:14" s="52" customFormat="1" x14ac:dyDescent="0.3">
      <c r="A470" s="62"/>
      <c r="B470" s="62"/>
      <c r="C470" s="63"/>
      <c r="D470" s="64"/>
      <c r="E470" s="65"/>
      <c r="F470" s="65"/>
      <c r="G470" s="66"/>
      <c r="H470" s="67"/>
      <c r="I470" s="67"/>
      <c r="J470" s="67"/>
      <c r="K470" s="67"/>
      <c r="L470" s="67"/>
      <c r="M470" s="62"/>
      <c r="N470" s="62"/>
    </row>
    <row r="471" spans="1:14" s="52" customFormat="1" x14ac:dyDescent="0.3">
      <c r="A471" s="62"/>
      <c r="B471" s="62"/>
      <c r="C471" s="63"/>
      <c r="D471" s="64"/>
      <c r="E471" s="65"/>
      <c r="F471" s="65"/>
      <c r="G471" s="66"/>
      <c r="H471" s="67"/>
      <c r="I471" s="67"/>
      <c r="J471" s="67"/>
      <c r="K471" s="67"/>
      <c r="L471" s="67"/>
      <c r="M471" s="62"/>
      <c r="N471" s="62"/>
    </row>
    <row r="472" spans="1:14" s="52" customFormat="1" x14ac:dyDescent="0.3">
      <c r="A472" s="62"/>
      <c r="B472" s="62"/>
      <c r="C472" s="63"/>
      <c r="D472" s="64"/>
      <c r="E472" s="65"/>
      <c r="F472" s="65"/>
      <c r="G472" s="66"/>
      <c r="H472" s="67"/>
      <c r="I472" s="67"/>
      <c r="J472" s="67"/>
      <c r="K472" s="67"/>
      <c r="L472" s="67"/>
      <c r="M472" s="62"/>
      <c r="N472" s="62"/>
    </row>
    <row r="473" spans="1:14" s="52" customFormat="1" x14ac:dyDescent="0.3">
      <c r="A473" s="62"/>
      <c r="B473" s="62"/>
      <c r="C473" s="63"/>
      <c r="D473" s="64"/>
      <c r="E473" s="65"/>
      <c r="F473" s="65"/>
      <c r="G473" s="66"/>
      <c r="H473" s="67"/>
      <c r="I473" s="67"/>
      <c r="J473" s="67"/>
      <c r="K473" s="67"/>
      <c r="L473" s="67"/>
      <c r="M473" s="62"/>
      <c r="N473" s="62"/>
    </row>
    <row r="474" spans="1:14" s="52" customFormat="1" x14ac:dyDescent="0.3">
      <c r="A474" s="62"/>
      <c r="B474" s="62"/>
      <c r="C474" s="63"/>
      <c r="D474" s="64"/>
      <c r="E474" s="65"/>
      <c r="F474" s="65"/>
      <c r="G474" s="66"/>
      <c r="H474" s="67"/>
      <c r="I474" s="67"/>
      <c r="J474" s="67"/>
      <c r="K474" s="67"/>
      <c r="L474" s="67"/>
      <c r="M474" s="62"/>
      <c r="N474" s="62"/>
    </row>
    <row r="475" spans="1:14" s="52" customFormat="1" x14ac:dyDescent="0.3">
      <c r="A475" s="62"/>
      <c r="B475" s="62"/>
      <c r="C475" s="63"/>
      <c r="D475" s="64"/>
      <c r="E475" s="65"/>
      <c r="F475" s="65"/>
      <c r="G475" s="66"/>
      <c r="H475" s="67"/>
      <c r="I475" s="67"/>
      <c r="J475" s="67"/>
      <c r="K475" s="67"/>
      <c r="L475" s="67"/>
      <c r="M475" s="62"/>
      <c r="N475" s="62"/>
    </row>
    <row r="476" spans="1:14" s="52" customFormat="1" x14ac:dyDescent="0.3">
      <c r="A476" s="62"/>
      <c r="B476" s="62"/>
      <c r="C476" s="63"/>
      <c r="D476" s="64"/>
      <c r="E476" s="65"/>
      <c r="F476" s="65"/>
      <c r="G476" s="66"/>
      <c r="H476" s="67"/>
      <c r="I476" s="67"/>
      <c r="J476" s="67"/>
      <c r="K476" s="67"/>
      <c r="L476" s="67"/>
      <c r="M476" s="62"/>
      <c r="N476" s="62"/>
    </row>
    <row r="477" spans="1:14" s="52" customFormat="1" x14ac:dyDescent="0.3">
      <c r="A477" s="62"/>
      <c r="B477" s="62"/>
      <c r="C477" s="63"/>
      <c r="D477" s="64"/>
      <c r="E477" s="65"/>
      <c r="F477" s="65"/>
      <c r="G477" s="66"/>
      <c r="H477" s="67"/>
      <c r="I477" s="67"/>
      <c r="J477" s="67"/>
      <c r="K477" s="67"/>
      <c r="L477" s="67"/>
      <c r="M477" s="62"/>
      <c r="N477" s="62"/>
    </row>
    <row r="478" spans="1:14" s="52" customFormat="1" x14ac:dyDescent="0.3">
      <c r="A478" s="62"/>
      <c r="B478" s="62"/>
      <c r="C478" s="63"/>
      <c r="D478" s="64"/>
      <c r="E478" s="65"/>
      <c r="F478" s="65"/>
      <c r="G478" s="66"/>
      <c r="H478" s="67"/>
      <c r="I478" s="67"/>
      <c r="J478" s="67"/>
      <c r="K478" s="67"/>
      <c r="L478" s="67"/>
      <c r="M478" s="62"/>
      <c r="N478" s="62"/>
    </row>
    <row r="479" spans="1:14" s="52" customFormat="1" x14ac:dyDescent="0.3">
      <c r="A479" s="62"/>
      <c r="B479" s="62"/>
      <c r="C479" s="63"/>
      <c r="D479" s="64"/>
      <c r="E479" s="65"/>
      <c r="F479" s="65"/>
      <c r="G479" s="66"/>
      <c r="H479" s="67"/>
      <c r="I479" s="67"/>
      <c r="J479" s="67"/>
      <c r="K479" s="67"/>
      <c r="L479" s="67"/>
      <c r="M479" s="62"/>
      <c r="N479" s="62"/>
    </row>
    <row r="480" spans="1:14" s="52" customFormat="1" x14ac:dyDescent="0.3">
      <c r="A480" s="62"/>
      <c r="B480" s="62"/>
      <c r="C480" s="63"/>
      <c r="D480" s="64"/>
      <c r="E480" s="65"/>
      <c r="F480" s="65"/>
      <c r="G480" s="66"/>
      <c r="H480" s="67"/>
      <c r="I480" s="67"/>
      <c r="J480" s="67"/>
      <c r="K480" s="67"/>
      <c r="L480" s="67"/>
      <c r="M480" s="62"/>
      <c r="N480" s="62"/>
    </row>
    <row r="481" spans="1:14" s="52" customFormat="1" x14ac:dyDescent="0.3">
      <c r="A481" s="62"/>
      <c r="B481" s="62"/>
      <c r="C481" s="63"/>
      <c r="D481" s="64"/>
      <c r="E481" s="65"/>
      <c r="F481" s="65"/>
      <c r="G481" s="66"/>
      <c r="H481" s="67"/>
      <c r="I481" s="67"/>
      <c r="J481" s="67"/>
      <c r="K481" s="67"/>
      <c r="L481" s="67"/>
      <c r="M481" s="62"/>
      <c r="N481" s="62"/>
    </row>
    <row r="482" spans="1:14" s="52" customFormat="1" x14ac:dyDescent="0.3">
      <c r="A482" s="62"/>
      <c r="B482" s="62"/>
      <c r="C482" s="63"/>
      <c r="D482" s="64"/>
      <c r="E482" s="65"/>
      <c r="F482" s="65"/>
      <c r="G482" s="66"/>
      <c r="H482" s="67"/>
      <c r="I482" s="67"/>
      <c r="J482" s="67"/>
      <c r="K482" s="67"/>
      <c r="L482" s="67"/>
      <c r="M482" s="62"/>
      <c r="N482" s="62"/>
    </row>
    <row r="483" spans="1:14" s="52" customFormat="1" x14ac:dyDescent="0.3">
      <c r="A483" s="62"/>
      <c r="B483" s="62"/>
      <c r="C483" s="63"/>
      <c r="D483" s="64"/>
      <c r="E483" s="65"/>
      <c r="F483" s="65"/>
      <c r="G483" s="66"/>
      <c r="H483" s="67"/>
      <c r="I483" s="67"/>
      <c r="J483" s="67"/>
      <c r="K483" s="67"/>
      <c r="L483" s="67"/>
      <c r="M483" s="62"/>
      <c r="N483" s="62"/>
    </row>
    <row r="484" spans="1:14" s="52" customFormat="1" x14ac:dyDescent="0.3">
      <c r="A484" s="62"/>
      <c r="B484" s="62"/>
      <c r="C484" s="63"/>
      <c r="D484" s="64"/>
      <c r="E484" s="65"/>
      <c r="F484" s="65"/>
      <c r="G484" s="66"/>
      <c r="H484" s="67"/>
      <c r="I484" s="67"/>
      <c r="J484" s="67"/>
      <c r="K484" s="67"/>
      <c r="L484" s="67"/>
      <c r="M484" s="62"/>
      <c r="N484" s="62"/>
    </row>
    <row r="485" spans="1:14" s="52" customFormat="1" x14ac:dyDescent="0.3">
      <c r="A485" s="62"/>
      <c r="B485" s="62"/>
      <c r="C485" s="63"/>
      <c r="D485" s="64"/>
      <c r="E485" s="65"/>
      <c r="F485" s="65"/>
      <c r="G485" s="66"/>
      <c r="H485" s="67"/>
      <c r="I485" s="67"/>
      <c r="J485" s="67"/>
      <c r="K485" s="67"/>
      <c r="L485" s="67"/>
      <c r="M485" s="62"/>
      <c r="N485" s="62"/>
    </row>
    <row r="486" spans="1:14" s="52" customFormat="1" x14ac:dyDescent="0.3">
      <c r="A486" s="62"/>
      <c r="B486" s="62"/>
      <c r="C486" s="63"/>
      <c r="D486" s="64"/>
      <c r="E486" s="65"/>
      <c r="F486" s="65"/>
      <c r="G486" s="66"/>
      <c r="H486" s="67"/>
      <c r="I486" s="67"/>
      <c r="J486" s="67"/>
      <c r="K486" s="67"/>
      <c r="L486" s="67"/>
      <c r="M486" s="62"/>
      <c r="N486" s="62"/>
    </row>
    <row r="487" spans="1:14" s="52" customFormat="1" x14ac:dyDescent="0.3">
      <c r="A487" s="62"/>
      <c r="B487" s="62"/>
      <c r="C487" s="63"/>
      <c r="D487" s="64"/>
      <c r="E487" s="65"/>
      <c r="F487" s="65"/>
      <c r="G487" s="66"/>
      <c r="H487" s="67"/>
      <c r="I487" s="67"/>
      <c r="J487" s="67"/>
      <c r="K487" s="67"/>
      <c r="L487" s="67"/>
      <c r="M487" s="62"/>
      <c r="N487" s="62"/>
    </row>
    <row r="488" spans="1:14" s="52" customFormat="1" x14ac:dyDescent="0.3">
      <c r="A488" s="62"/>
      <c r="B488" s="62"/>
      <c r="C488" s="63"/>
      <c r="D488" s="64"/>
      <c r="E488" s="65"/>
      <c r="F488" s="65"/>
      <c r="G488" s="66"/>
      <c r="H488" s="67"/>
      <c r="I488" s="67"/>
      <c r="J488" s="67"/>
      <c r="K488" s="67"/>
      <c r="L488" s="67"/>
      <c r="M488" s="62"/>
      <c r="N488" s="62"/>
    </row>
    <row r="489" spans="1:14" s="52" customFormat="1" x14ac:dyDescent="0.3">
      <c r="A489" s="62"/>
      <c r="B489" s="62"/>
      <c r="C489" s="63"/>
      <c r="D489" s="64"/>
      <c r="E489" s="65"/>
      <c r="F489" s="65"/>
      <c r="G489" s="66"/>
      <c r="H489" s="67"/>
      <c r="I489" s="67"/>
      <c r="J489" s="67"/>
      <c r="K489" s="67"/>
      <c r="L489" s="67"/>
      <c r="M489" s="62"/>
      <c r="N489" s="62"/>
    </row>
    <row r="490" spans="1:14" s="52" customFormat="1" x14ac:dyDescent="0.3">
      <c r="A490" s="62"/>
      <c r="B490" s="62"/>
      <c r="C490" s="63"/>
      <c r="D490" s="64"/>
      <c r="E490" s="65"/>
      <c r="F490" s="65"/>
      <c r="G490" s="66"/>
      <c r="H490" s="67"/>
      <c r="I490" s="67"/>
      <c r="J490" s="67"/>
      <c r="K490" s="67"/>
      <c r="L490" s="67"/>
      <c r="M490" s="62"/>
      <c r="N490" s="62"/>
    </row>
    <row r="491" spans="1:14" s="52" customFormat="1" x14ac:dyDescent="0.3">
      <c r="A491" s="62"/>
      <c r="B491" s="62"/>
      <c r="C491" s="63"/>
      <c r="D491" s="64"/>
      <c r="E491" s="65"/>
      <c r="F491" s="65"/>
      <c r="G491" s="66"/>
      <c r="H491" s="67"/>
      <c r="I491" s="67"/>
      <c r="J491" s="67"/>
      <c r="K491" s="67"/>
      <c r="L491" s="67"/>
      <c r="M491" s="62"/>
      <c r="N491" s="62"/>
    </row>
    <row r="492" spans="1:14" s="52" customFormat="1" x14ac:dyDescent="0.3">
      <c r="A492" s="62"/>
      <c r="B492" s="62"/>
      <c r="C492" s="63"/>
      <c r="D492" s="64"/>
      <c r="E492" s="65"/>
      <c r="F492" s="65"/>
      <c r="G492" s="66"/>
      <c r="H492" s="67"/>
      <c r="I492" s="67"/>
      <c r="J492" s="67"/>
      <c r="K492" s="67"/>
      <c r="L492" s="67"/>
      <c r="M492" s="62"/>
      <c r="N492" s="62"/>
    </row>
    <row r="493" spans="1:14" s="52" customFormat="1" x14ac:dyDescent="0.3">
      <c r="A493" s="62"/>
      <c r="B493" s="62"/>
      <c r="C493" s="63"/>
      <c r="D493" s="64"/>
      <c r="E493" s="65"/>
      <c r="F493" s="65"/>
      <c r="G493" s="66"/>
      <c r="H493" s="67"/>
      <c r="I493" s="67"/>
      <c r="J493" s="67"/>
      <c r="K493" s="67"/>
      <c r="L493" s="67"/>
      <c r="M493" s="62"/>
      <c r="N493" s="62"/>
    </row>
    <row r="494" spans="1:14" s="52" customFormat="1" x14ac:dyDescent="0.3">
      <c r="A494" s="62"/>
      <c r="B494" s="62"/>
      <c r="C494" s="63"/>
      <c r="D494" s="64"/>
      <c r="E494" s="65"/>
      <c r="F494" s="65"/>
      <c r="G494" s="66"/>
      <c r="H494" s="67"/>
      <c r="I494" s="67"/>
      <c r="J494" s="67"/>
      <c r="K494" s="67"/>
      <c r="L494" s="67"/>
      <c r="M494" s="62"/>
      <c r="N494" s="62"/>
    </row>
    <row r="495" spans="1:14" s="52" customFormat="1" x14ac:dyDescent="0.3">
      <c r="A495" s="62"/>
      <c r="B495" s="62"/>
      <c r="C495" s="63"/>
      <c r="D495" s="64"/>
      <c r="E495" s="65"/>
      <c r="F495" s="65"/>
      <c r="G495" s="66"/>
      <c r="H495" s="67"/>
      <c r="I495" s="67"/>
      <c r="J495" s="67"/>
      <c r="K495" s="67"/>
      <c r="L495" s="67"/>
      <c r="M495" s="62"/>
      <c r="N495" s="62"/>
    </row>
    <row r="496" spans="1:14" s="52" customFormat="1" x14ac:dyDescent="0.3">
      <c r="A496" s="62"/>
      <c r="B496" s="62"/>
      <c r="C496" s="63"/>
      <c r="D496" s="64"/>
      <c r="E496" s="65"/>
      <c r="F496" s="65"/>
      <c r="G496" s="66"/>
      <c r="H496" s="67"/>
      <c r="I496" s="67"/>
      <c r="J496" s="67"/>
      <c r="K496" s="67"/>
      <c r="L496" s="67"/>
      <c r="M496" s="62"/>
      <c r="N496" s="62"/>
    </row>
    <row r="497" spans="1:14" s="52" customFormat="1" x14ac:dyDescent="0.3">
      <c r="A497" s="62"/>
      <c r="B497" s="62"/>
      <c r="C497" s="63"/>
      <c r="D497" s="64"/>
      <c r="E497" s="65"/>
      <c r="F497" s="65"/>
      <c r="G497" s="66"/>
      <c r="H497" s="67"/>
      <c r="I497" s="67"/>
      <c r="J497" s="67"/>
      <c r="K497" s="67"/>
      <c r="L497" s="67"/>
      <c r="M497" s="62"/>
      <c r="N497" s="62"/>
    </row>
    <row r="498" spans="1:14" s="52" customFormat="1" x14ac:dyDescent="0.3">
      <c r="A498" s="62"/>
      <c r="B498" s="62"/>
      <c r="C498" s="63"/>
      <c r="D498" s="64"/>
      <c r="E498" s="65"/>
      <c r="F498" s="65"/>
      <c r="G498" s="66"/>
      <c r="H498" s="67"/>
      <c r="I498" s="67"/>
      <c r="J498" s="67"/>
      <c r="K498" s="67"/>
      <c r="L498" s="67"/>
      <c r="M498" s="62"/>
      <c r="N498" s="62"/>
    </row>
    <row r="499" spans="1:14" s="52" customFormat="1" x14ac:dyDescent="0.3">
      <c r="A499" s="62"/>
      <c r="B499" s="62"/>
      <c r="C499" s="63"/>
      <c r="D499" s="64"/>
      <c r="E499" s="65"/>
      <c r="F499" s="65"/>
      <c r="G499" s="66"/>
      <c r="H499" s="67"/>
      <c r="I499" s="67"/>
      <c r="J499" s="67"/>
      <c r="K499" s="67"/>
      <c r="L499" s="67"/>
      <c r="M499" s="62"/>
      <c r="N499" s="62"/>
    </row>
    <row r="500" spans="1:14" s="52" customFormat="1" x14ac:dyDescent="0.3">
      <c r="A500" s="62"/>
      <c r="B500" s="62"/>
      <c r="C500" s="63"/>
      <c r="D500" s="64"/>
      <c r="E500" s="65"/>
      <c r="F500" s="65"/>
      <c r="G500" s="66"/>
      <c r="H500" s="67"/>
      <c r="I500" s="67"/>
      <c r="J500" s="67"/>
      <c r="K500" s="67"/>
      <c r="L500" s="67"/>
      <c r="M500" s="62"/>
      <c r="N500" s="62"/>
    </row>
  </sheetData>
  <autoFilter ref="A1:N500" xr:uid="{725A5A62-CBA5-4079-A5CC-32524DB13DFD}"/>
  <phoneticPr fontId="12" type="noConversion"/>
  <conditionalFormatting sqref="C2:C500">
    <cfRule type="expression" dxfId="40" priority="1211">
      <formula>OR($C2="")</formula>
    </cfRule>
  </conditionalFormatting>
  <conditionalFormatting sqref="B42:B43 B207 B307 B406 N60 N231 N375 B369:B370 B229 B372:B374 E307 B238:B248 M307:N307 M427:N462 M376:N409 M351:N357 M232:N248 M207:N213 M42:N59 M61:N74 M92:N161 B302 B325 B351:B357 B423 B376:B395 B92:B161 E427:E462 E92:E161 B250:B253 B359:B367 M215:N230 N214 M250:N253 N249 M359:N374 N358 E351:E409 A1:N1 B427:B462 E207:E253 E42:E74 G207:G253 G351:G409 G92:G161 G427:G462 G307 D2:D500 G42:G74 F2:F500 H2:L500">
    <cfRule type="expression" dxfId="39" priority="1112">
      <formula>ROW()=CELL("строка")</formula>
    </cfRule>
  </conditionalFormatting>
  <conditionalFormatting sqref="B44:B59 B61 B63:B74">
    <cfRule type="expression" dxfId="38" priority="1085">
      <formula>ROW()=CELL("строка")</formula>
    </cfRule>
  </conditionalFormatting>
  <conditionalFormatting sqref="B208:B213 B228 B232:B237 B230 B215:B226">
    <cfRule type="expression" dxfId="37" priority="1022">
      <formula>ROW()=CELL("строка")</formula>
    </cfRule>
  </conditionalFormatting>
  <conditionalFormatting sqref="B396:B405 B407:B409">
    <cfRule type="expression" dxfId="36" priority="973">
      <formula>ROW()=CELL("строка")</formula>
    </cfRule>
  </conditionalFormatting>
  <conditionalFormatting sqref="B227">
    <cfRule type="expression" dxfId="35" priority="545">
      <formula>ROW()=CELL("строка")</formula>
    </cfRule>
  </conditionalFormatting>
  <conditionalFormatting sqref="B371">
    <cfRule type="expression" dxfId="34" priority="544">
      <formula>ROW()=CELL("строка")</formula>
    </cfRule>
  </conditionalFormatting>
  <conditionalFormatting sqref="M60 M231 M375">
    <cfRule type="expression" dxfId="33" priority="530">
      <formula>ROW()=CELL("строка")</formula>
    </cfRule>
  </conditionalFormatting>
  <conditionalFormatting sqref="B60 B231 B375">
    <cfRule type="expression" dxfId="32" priority="529">
      <formula>ROW()=CELL("строка")</formula>
    </cfRule>
  </conditionalFormatting>
  <conditionalFormatting sqref="B368">
    <cfRule type="expression" dxfId="31" priority="528">
      <formula>ROW()=CELL("строка")</formula>
    </cfRule>
  </conditionalFormatting>
  <conditionalFormatting sqref="B62">
    <cfRule type="expression" dxfId="30" priority="526">
      <formula>ROW()=CELL("строка")</formula>
    </cfRule>
  </conditionalFormatting>
  <conditionalFormatting sqref="A2:B2 M2:N19 E2:E19 G2:G19 B3:B4 A3:A500">
    <cfRule type="expression" dxfId="29" priority="483">
      <formula>ROW()=CELL("строка")</formula>
    </cfRule>
  </conditionalFormatting>
  <conditionalFormatting sqref="B5:B19">
    <cfRule type="expression" dxfId="28" priority="480">
      <formula>ROW()=CELL("строка")</formula>
    </cfRule>
  </conditionalFormatting>
  <conditionalFormatting sqref="M162:N183 B162:B173 B175:B183 B214 B249 B326 B358 B424 E162:E183 M214 M249 M326 M358 M424 G162:G183">
    <cfRule type="expression" dxfId="27" priority="475">
      <formula>ROW()=CELL("строка")</formula>
    </cfRule>
  </conditionalFormatting>
  <conditionalFormatting sqref="B174">
    <cfRule type="expression" dxfId="26" priority="468">
      <formula>ROW()=CELL("строка")</formula>
    </cfRule>
  </conditionalFormatting>
  <conditionalFormatting sqref="M308:N325 B327:B328 B308:B318 B320:B324 M327:N328 N326 E308:E328 G308:G328">
    <cfRule type="expression" dxfId="25" priority="465">
      <formula>ROW()=CELL("строка")</formula>
    </cfRule>
  </conditionalFormatting>
  <conditionalFormatting sqref="B319">
    <cfRule type="expression" dxfId="24" priority="460">
      <formula>ROW()=CELL("строка")</formula>
    </cfRule>
  </conditionalFormatting>
  <conditionalFormatting sqref="M410:N423 B410:B418 B420:B422 B425:B426 E410:E426 M425:N426 N424 G410:G426">
    <cfRule type="expression" dxfId="23" priority="377">
      <formula>ROW()=CELL("строка")</formula>
    </cfRule>
  </conditionalFormatting>
  <conditionalFormatting sqref="B419">
    <cfRule type="expression" dxfId="22" priority="372">
      <formula>ROW()=CELL("строка")</formula>
    </cfRule>
  </conditionalFormatting>
  <conditionalFormatting sqref="E254:E306 M254:N306 B303:B306 B254:B301 G254:G306">
    <cfRule type="expression" dxfId="21" priority="336">
      <formula>ROW()=CELL("строка")</formula>
    </cfRule>
  </conditionalFormatting>
  <conditionalFormatting sqref="M463:N500 B463:B500 E463:E500 G463:G500">
    <cfRule type="expression" dxfId="20" priority="325">
      <formula>ROW()=CELL("строка")</formula>
    </cfRule>
  </conditionalFormatting>
  <conditionalFormatting sqref="M20:N41 B22 B20 B24:B41 E20:E41 G20:G41">
    <cfRule type="expression" dxfId="19" priority="287">
      <formula>ROW()=CELL("строка")</formula>
    </cfRule>
  </conditionalFormatting>
  <conditionalFormatting sqref="M184:N206 B184:B185 E184:E206 B189:B206 B187 G184:G206">
    <cfRule type="expression" dxfId="18" priority="284">
      <formula>ROW()=CELL("строка")</formula>
    </cfRule>
  </conditionalFormatting>
  <conditionalFormatting sqref="M329:N350 B329 E329:E350 B333:B350 B331 G329:G350">
    <cfRule type="expression" dxfId="17" priority="281">
      <formula>ROW()=CELL("строка")</formula>
    </cfRule>
  </conditionalFormatting>
  <conditionalFormatting sqref="B75 E75 M75:N91 G75:G91">
    <cfRule type="expression" dxfId="16" priority="255">
      <formula>ROW()=CELL("строка")</formula>
    </cfRule>
  </conditionalFormatting>
  <conditionalFormatting sqref="B76:B91">
    <cfRule type="expression" dxfId="15" priority="252">
      <formula>ROW()=CELL("строка")</formula>
    </cfRule>
  </conditionalFormatting>
  <conditionalFormatting sqref="E76:E91">
    <cfRule type="expression" dxfId="14" priority="251">
      <formula>ROW()=CELL("строка")</formula>
    </cfRule>
  </conditionalFormatting>
  <conditionalFormatting sqref="C2:C500">
    <cfRule type="expression" dxfId="13" priority="202">
      <formula>ROW()=CELL("строка")</formula>
    </cfRule>
  </conditionalFormatting>
  <conditionalFormatting sqref="B186 B188 B330 B332">
    <cfRule type="expression" dxfId="12" priority="23">
      <formula>ROW()=CELL("строка")</formula>
    </cfRule>
  </conditionalFormatting>
  <conditionalFormatting sqref="B23">
    <cfRule type="expression" dxfId="11" priority="22">
      <formula>ROW()=CELL("строка")</formula>
    </cfRule>
  </conditionalFormatting>
  <conditionalFormatting sqref="B21">
    <cfRule type="expression" dxfId="10" priority="21">
      <formula>ROW()=CELL("строка")</formula>
    </cfRule>
  </conditionalFormatting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99282D6-FE0D-4735-9EBB-542153268E54}">
          <x14:formula1>
            <xm:f>#REF!</xm:f>
          </x14:formula1>
          <xm:sqref>H1:L1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4BBB5-D60B-4B99-8567-36A00EBF0AC3}">
  <sheetPr codeName="Лист3">
    <pageSetUpPr fitToPage="1"/>
  </sheetPr>
  <dimension ref="A1:R512"/>
  <sheetViews>
    <sheetView view="pageBreakPreview" zoomScale="80" zoomScaleNormal="80" zoomScaleSheetLayoutView="80" workbookViewId="0">
      <selection activeCell="C516" sqref="C516"/>
    </sheetView>
  </sheetViews>
  <sheetFormatPr defaultColWidth="9.109375" defaultRowHeight="12" x14ac:dyDescent="0.25"/>
  <cols>
    <col min="1" max="1" width="11.88671875" style="11" customWidth="1"/>
    <col min="2" max="2" width="17.6640625" style="11" customWidth="1"/>
    <col min="3" max="3" width="51.109375" style="11" customWidth="1"/>
    <col min="4" max="5" width="11.88671875" style="11" customWidth="1"/>
    <col min="6" max="6" width="13.44140625" style="20" customWidth="1"/>
    <col min="7" max="7" width="15" style="20" customWidth="1"/>
    <col min="8" max="8" width="18.88671875" style="46" bestFit="1" customWidth="1"/>
    <col min="9" max="9" width="15.6640625" style="46" bestFit="1" customWidth="1"/>
    <col min="10" max="10" width="17.88671875" style="20" customWidth="1"/>
    <col min="11" max="11" width="19.44140625" style="20" customWidth="1"/>
    <col min="12" max="12" width="16.6640625" style="20" customWidth="1"/>
    <col min="13" max="13" width="14.44140625" style="20" customWidth="1"/>
    <col min="14" max="14" width="15.88671875" style="20" customWidth="1"/>
    <col min="15" max="15" width="24.88671875" style="11" customWidth="1"/>
    <col min="16" max="20" width="9.109375" style="11"/>
    <col min="21" max="21" width="3.44140625" style="11" customWidth="1"/>
    <col min="22" max="16384" width="9.109375" style="11"/>
  </cols>
  <sheetData>
    <row r="1" spans="1:18" ht="83.4" customHeight="1" x14ac:dyDescent="0.25">
      <c r="A1" s="2"/>
      <c r="B1" s="3"/>
      <c r="C1" s="2"/>
      <c r="D1" s="2"/>
      <c r="E1" s="47" t="s">
        <v>35</v>
      </c>
      <c r="F1" s="47"/>
      <c r="G1" s="47"/>
      <c r="H1" s="47"/>
      <c r="I1" s="47"/>
      <c r="J1" s="19"/>
    </row>
    <row r="2" spans="1:18" x14ac:dyDescent="0.25">
      <c r="A2" s="2"/>
      <c r="B2" s="3"/>
      <c r="C2" s="2"/>
      <c r="D2" s="2"/>
      <c r="E2" s="7"/>
      <c r="F2" s="8"/>
      <c r="G2" s="21"/>
      <c r="H2" s="34"/>
      <c r="I2" s="35"/>
      <c r="J2" s="19"/>
    </row>
    <row r="3" spans="1:18" ht="17.399999999999999" customHeight="1" x14ac:dyDescent="0.25">
      <c r="A3" s="2"/>
      <c r="B3" s="5" t="s">
        <v>16</v>
      </c>
      <c r="C3" s="14"/>
      <c r="D3" s="56"/>
      <c r="E3" s="9" t="s">
        <v>17</v>
      </c>
      <c r="F3" s="22"/>
      <c r="G3" s="23"/>
      <c r="H3" s="36"/>
      <c r="I3" s="37"/>
      <c r="J3" s="24"/>
    </row>
    <row r="4" spans="1:18" x14ac:dyDescent="0.25">
      <c r="A4" s="2"/>
      <c r="B4" s="4" t="s">
        <v>18</v>
      </c>
      <c r="C4" s="14"/>
      <c r="D4" s="56"/>
      <c r="E4" s="9" t="s">
        <v>19</v>
      </c>
      <c r="F4" s="10"/>
      <c r="G4" s="25"/>
      <c r="H4" s="38"/>
      <c r="I4" s="39"/>
      <c r="J4" s="24"/>
    </row>
    <row r="5" spans="1:18" x14ac:dyDescent="0.25">
      <c r="A5" s="2"/>
      <c r="B5" s="5" t="s">
        <v>20</v>
      </c>
      <c r="C5" s="14"/>
      <c r="D5" s="14"/>
      <c r="E5" s="15"/>
      <c r="F5" s="8"/>
      <c r="G5" s="21"/>
      <c r="H5" s="34"/>
      <c r="I5" s="35"/>
      <c r="J5" s="19"/>
    </row>
    <row r="6" spans="1:18" x14ac:dyDescent="0.25">
      <c r="A6" s="2"/>
      <c r="B6" s="5" t="s">
        <v>21</v>
      </c>
      <c r="C6" s="14"/>
      <c r="D6" s="14"/>
      <c r="E6" s="15"/>
      <c r="F6" s="8"/>
      <c r="G6" s="21"/>
      <c r="H6" s="34"/>
      <c r="I6" s="35"/>
      <c r="J6" s="19"/>
    </row>
    <row r="7" spans="1:18" x14ac:dyDescent="0.25">
      <c r="A7" s="2"/>
      <c r="B7" s="5" t="s">
        <v>22</v>
      </c>
      <c r="C7" s="6"/>
      <c r="D7" s="6"/>
      <c r="E7" s="15"/>
      <c r="F7" s="8"/>
      <c r="G7" s="21"/>
      <c r="H7" s="34"/>
      <c r="I7" s="35"/>
      <c r="J7" s="19"/>
    </row>
    <row r="8" spans="1:18" x14ac:dyDescent="0.25">
      <c r="A8" s="2"/>
      <c r="B8" s="2"/>
      <c r="C8" s="2"/>
      <c r="D8" s="2"/>
      <c r="E8" s="16"/>
      <c r="F8" s="8"/>
      <c r="G8" s="21"/>
      <c r="H8" s="34"/>
      <c r="I8" s="35"/>
      <c r="J8" s="19"/>
    </row>
    <row r="9" spans="1:18" ht="15.6" customHeight="1" x14ac:dyDescent="0.25">
      <c r="A9" s="49" t="s">
        <v>23</v>
      </c>
      <c r="B9" s="49"/>
      <c r="C9" s="49"/>
      <c r="D9" s="49"/>
      <c r="E9" s="49"/>
      <c r="F9" s="49"/>
      <c r="G9" s="21"/>
      <c r="H9" s="34"/>
      <c r="I9" s="35"/>
      <c r="J9" s="19"/>
    </row>
    <row r="10" spans="1:18" ht="32.4" customHeight="1" x14ac:dyDescent="0.25">
      <c r="A10" s="48" t="s">
        <v>24</v>
      </c>
      <c r="B10" s="48"/>
      <c r="C10" s="48"/>
      <c r="D10" s="48"/>
      <c r="E10" s="48"/>
      <c r="F10" s="48"/>
      <c r="G10" s="21"/>
      <c r="H10" s="34"/>
      <c r="I10" s="35"/>
      <c r="J10" s="19"/>
    </row>
    <row r="11" spans="1:18" x14ac:dyDescent="0.25">
      <c r="A11" s="16"/>
      <c r="B11" s="3"/>
      <c r="C11" s="16"/>
      <c r="D11" s="16"/>
      <c r="E11" s="16"/>
      <c r="F11" s="8"/>
      <c r="G11" s="21"/>
      <c r="H11" s="34"/>
      <c r="I11" s="40"/>
      <c r="J11" s="26"/>
    </row>
    <row r="12" spans="1:18" ht="30.75" customHeight="1" x14ac:dyDescent="0.25">
      <c r="A12" s="17" t="s">
        <v>2</v>
      </c>
      <c r="B12" s="18" t="s">
        <v>0</v>
      </c>
      <c r="C12" s="18" t="s">
        <v>5</v>
      </c>
      <c r="D12" s="18" t="s">
        <v>1</v>
      </c>
      <c r="E12" s="18" t="s">
        <v>6</v>
      </c>
      <c r="F12" s="28" t="s">
        <v>8</v>
      </c>
      <c r="G12" s="28" t="s">
        <v>10</v>
      </c>
      <c r="H12" s="41" t="s">
        <v>32</v>
      </c>
      <c r="I12" s="41" t="s">
        <v>33</v>
      </c>
      <c r="J12" s="28" t="s">
        <v>11</v>
      </c>
      <c r="K12" s="28" t="s">
        <v>12</v>
      </c>
      <c r="L12" s="28" t="s">
        <v>4</v>
      </c>
      <c r="M12" s="28" t="s">
        <v>13</v>
      </c>
      <c r="N12" s="28" t="s">
        <v>14</v>
      </c>
    </row>
    <row r="13" spans="1:18" x14ac:dyDescent="0.25">
      <c r="A13" s="29">
        <f>IFERROR('WV 4.0'!A2, " ")</f>
        <v>0</v>
      </c>
      <c r="B13" s="29">
        <f>IFERROR('WV 4.0'!B2, " ")</f>
        <v>0</v>
      </c>
      <c r="C13" s="29">
        <f>IFERROR('WV 4.0'!C2, " ")</f>
        <v>0</v>
      </c>
      <c r="D13" s="29">
        <f>IFERROR('WV 4.0'!D2, " ")</f>
        <v>0</v>
      </c>
      <c r="E13" s="29">
        <f>IFERROR('WV 4.0'!E2, " ")</f>
        <v>0</v>
      </c>
      <c r="F13" s="27">
        <f>IFERROR(ROUND(HLOOKUP(Таблица5[[#Headers],[Цена КП]],'WV 4.0'!$A:$N,ROW('WV 4.0'!2:2),0),0),"")</f>
        <v>0</v>
      </c>
      <c r="G13" s="27">
        <f>IFERROR(Таблица5[[#This Row],[Цена КП]]*Таблица5[[#This Row],[Кол-во]],"")</f>
        <v>0</v>
      </c>
      <c r="H13" s="27">
        <f>IFERROR(HLOOKUP(Таблица5[[#Headers],[Комментарии]],'WV 4.0'!$A:$N,ROW('WV 4.0'!2:2),0),"")</f>
        <v>0</v>
      </c>
      <c r="I13" s="27">
        <f>IFERROR(HLOOKUP(Таблица5[[#Headers],[Срок поставки]],'WV 4.0'!$A:$N,ROW('WV 4.0'!2:2),0),"")</f>
        <v>0</v>
      </c>
      <c r="J13" s="27" t="str">
        <f>IFERROR(HLOOKUP(Таблица5[[#Headers],[Цена КазНИИСА]],'WV 4.0'!$A:$N,ROW('WV 4.0'!2:2),0),"")</f>
        <v/>
      </c>
      <c r="K13" s="27" t="str">
        <f>IFERROR(HLOOKUP(Таблица5[[#Headers],[Сумма КазНИИСА]],'WV 4.0'!$A:$N,ROW('WV 4.0'!2:2),0),"")</f>
        <v/>
      </c>
      <c r="L13" s="27">
        <f>IFERROR(HLOOKUP(Таблица5[[#Headers],[Код КазНИИСА]],'WV 4.0'!$A:$N,ROW('WV 4.0'!2:2),0),"")</f>
        <v>0</v>
      </c>
      <c r="M13" s="27" t="str">
        <f>IFERROR(HLOOKUP(Таблица5[[#Headers],[РРЦ в тнг]],'WV 4.0'!$A:$N,ROW('WV 4.0'!2:2),0),"")</f>
        <v/>
      </c>
      <c r="N13" s="27" t="str">
        <f>IFERROR(HLOOKUP(Таблица5[[#Headers],[Сумма РРЦ]],'WV 4.0'!$A:$N,ROW('WV 4.0'!2:2),0),"")</f>
        <v/>
      </c>
      <c r="P13" s="32"/>
      <c r="Q13" s="33"/>
      <c r="R13" s="32"/>
    </row>
    <row r="14" spans="1:18" x14ac:dyDescent="0.25">
      <c r="A14" s="29">
        <f>IFERROR('WV 4.0'!A3, " ")</f>
        <v>0</v>
      </c>
      <c r="B14" s="29">
        <f>IFERROR('WV 4.0'!B3, " ")</f>
        <v>0</v>
      </c>
      <c r="C14" s="29">
        <f>IFERROR('WV 4.0'!C3, " ")</f>
        <v>0</v>
      </c>
      <c r="D14" s="29">
        <f>IFERROR('WV 4.0'!D3, " ")</f>
        <v>0</v>
      </c>
      <c r="E14" s="29">
        <f>IFERROR('WV 4.0'!E3, " ")</f>
        <v>0</v>
      </c>
      <c r="F14" s="27">
        <f>IFERROR(ROUND(HLOOKUP(Таблица5[[#Headers],[Цена КП]],'WV 4.0'!$A:$N,ROW('WV 4.0'!3:3),0),0),"")</f>
        <v>0</v>
      </c>
      <c r="G14" s="27">
        <f>IFERROR(Таблица5[[#This Row],[Цена КП]]*Таблица5[[#This Row],[Кол-во]],"")</f>
        <v>0</v>
      </c>
      <c r="H14" s="42">
        <f>IFERROR(HLOOKUP(Таблица5[[#Headers],[Комментарии]],'WV 4.0'!$A:$N,ROW('WV 4.0'!3:3),0),"")</f>
        <v>0</v>
      </c>
      <c r="I14" s="42">
        <f>IFERROR(HLOOKUP(Таблица5[[#Headers],[Срок поставки]],'WV 4.0'!$A:$N,ROW('WV 4.0'!3:3),0),"")</f>
        <v>0</v>
      </c>
      <c r="J14" s="27" t="str">
        <f>IFERROR(HLOOKUP(Таблица5[[#Headers],[Цена КазНИИСА]],'WV 4.0'!$A:$N,ROW('WV 4.0'!3:3),0),"")</f>
        <v/>
      </c>
      <c r="K14" s="27" t="str">
        <f>IFERROR(HLOOKUP(Таблица5[[#Headers],[Сумма КазНИИСА]],'WV 4.0'!$A:$N,ROW('WV 4.0'!3:3),0),"")</f>
        <v/>
      </c>
      <c r="L14" s="27">
        <f>IFERROR(HLOOKUP(Таблица5[[#Headers],[Код КазНИИСА]],'WV 4.0'!$A:$N,ROW('WV 4.0'!3:3),0),"")</f>
        <v>0</v>
      </c>
      <c r="M14" s="27" t="str">
        <f>IFERROR(HLOOKUP(Таблица5[[#Headers],[РРЦ в тнг]],'WV 4.0'!$A:$N,ROW('WV 4.0'!3:3),0),"")</f>
        <v/>
      </c>
      <c r="N14" s="27" t="str">
        <f>IFERROR(HLOOKUP(Таблица5[[#Headers],[Сумма РРЦ]],'WV 4.0'!$A:$N,ROW('WV 4.0'!3:3),0),"")</f>
        <v/>
      </c>
    </row>
    <row r="15" spans="1:18" x14ac:dyDescent="0.25">
      <c r="A15" s="29">
        <f>IFERROR('WV 4.0'!A4, " ")</f>
        <v>0</v>
      </c>
      <c r="B15" s="29">
        <f>IFERROR('WV 4.0'!B4, " ")</f>
        <v>0</v>
      </c>
      <c r="C15" s="29">
        <f>IFERROR('WV 4.0'!C4, " ")</f>
        <v>0</v>
      </c>
      <c r="D15" s="29">
        <f>IFERROR('WV 4.0'!D4, " ")</f>
        <v>0</v>
      </c>
      <c r="E15" s="29">
        <f>IFERROR('WV 4.0'!E4, " ")</f>
        <v>0</v>
      </c>
      <c r="F15" s="27">
        <f>IFERROR(ROUND(HLOOKUP(Таблица5[[#Headers],[Цена КП]],'WV 4.0'!$A:$N,ROW('WV 4.0'!4:4),0),0),"")</f>
        <v>0</v>
      </c>
      <c r="G15" s="27">
        <f>IFERROR(Таблица5[[#This Row],[Цена КП]]*Таблица5[[#This Row],[Кол-во]],"")</f>
        <v>0</v>
      </c>
      <c r="H15" s="42">
        <f>IFERROR(HLOOKUP(Таблица5[[#Headers],[Комментарии]],'WV 4.0'!$A:$N,ROW('WV 4.0'!4:4),0),"")</f>
        <v>0</v>
      </c>
      <c r="I15" s="42">
        <f>IFERROR(HLOOKUP(Таблица5[[#Headers],[Срок поставки]],'WV 4.0'!$A:$N,ROW('WV 4.0'!4:4),0),"")</f>
        <v>0</v>
      </c>
      <c r="J15" s="27" t="str">
        <f>IFERROR(HLOOKUP(Таблица5[[#Headers],[Цена КазНИИСА]],'WV 4.0'!$A:$N,ROW('WV 4.0'!4:4),0),"")</f>
        <v/>
      </c>
      <c r="K15" s="27" t="str">
        <f>IFERROR(HLOOKUP(Таблица5[[#Headers],[Сумма КазНИИСА]],'WV 4.0'!$A:$N,ROW('WV 4.0'!4:4),0),"")</f>
        <v/>
      </c>
      <c r="L15" s="27">
        <f>IFERROR(HLOOKUP(Таблица5[[#Headers],[Код КазНИИСА]],'WV 4.0'!$A:$N,ROW('WV 4.0'!4:4),0),"")</f>
        <v>0</v>
      </c>
      <c r="M15" s="27" t="str">
        <f>IFERROR(HLOOKUP(Таблица5[[#Headers],[РРЦ в тнг]],'WV 4.0'!$A:$N,ROW('WV 4.0'!4:4),0),"")</f>
        <v/>
      </c>
      <c r="N15" s="27" t="str">
        <f>IFERROR(HLOOKUP(Таблица5[[#Headers],[Сумма РРЦ]],'WV 4.0'!$A:$N,ROW('WV 4.0'!4:4),0),"")</f>
        <v/>
      </c>
    </row>
    <row r="16" spans="1:18" x14ac:dyDescent="0.25">
      <c r="A16" s="29">
        <f>IFERROR('WV 4.0'!A5, " ")</f>
        <v>0</v>
      </c>
      <c r="B16" s="29">
        <f>IFERROR('WV 4.0'!B5, " ")</f>
        <v>0</v>
      </c>
      <c r="C16" s="29">
        <f>IFERROR('WV 4.0'!C5, " ")</f>
        <v>0</v>
      </c>
      <c r="D16" s="29">
        <f>IFERROR('WV 4.0'!D5, " ")</f>
        <v>0</v>
      </c>
      <c r="E16" s="29">
        <f>IFERROR('WV 4.0'!E5, " ")</f>
        <v>0</v>
      </c>
      <c r="F16" s="27">
        <f>IFERROR(ROUND(HLOOKUP(Таблица5[[#Headers],[Цена КП]],'WV 4.0'!$A:$N,ROW('WV 4.0'!5:5),0),0),"")</f>
        <v>0</v>
      </c>
      <c r="G16" s="27">
        <f>IFERROR(Таблица5[[#This Row],[Цена КП]]*Таблица5[[#This Row],[Кол-во]],"")</f>
        <v>0</v>
      </c>
      <c r="H16" s="42">
        <f>IFERROR(HLOOKUP(Таблица5[[#Headers],[Комментарии]],'WV 4.0'!$A:$N,ROW('WV 4.0'!5:5),0),"")</f>
        <v>0</v>
      </c>
      <c r="I16" s="42">
        <f>IFERROR(HLOOKUP(Таблица5[[#Headers],[Срок поставки]],'WV 4.0'!$A:$N,ROW('WV 4.0'!5:5),0),"")</f>
        <v>0</v>
      </c>
      <c r="J16" s="27" t="str">
        <f>IFERROR(HLOOKUP(Таблица5[[#Headers],[Цена КазНИИСА]],'WV 4.0'!$A:$N,ROW('WV 4.0'!5:5),0),"")</f>
        <v/>
      </c>
      <c r="K16" s="27" t="str">
        <f>IFERROR(HLOOKUP(Таблица5[[#Headers],[Сумма КазНИИСА]],'WV 4.0'!$A:$N,ROW('WV 4.0'!5:5),0),"")</f>
        <v/>
      </c>
      <c r="L16" s="27">
        <f>IFERROR(HLOOKUP(Таблица5[[#Headers],[Код КазНИИСА]],'WV 4.0'!$A:$N,ROW('WV 4.0'!5:5),0),"")</f>
        <v>0</v>
      </c>
      <c r="M16" s="27" t="str">
        <f>IFERROR(HLOOKUP(Таблица5[[#Headers],[РРЦ в тнг]],'WV 4.0'!$A:$N,ROW('WV 4.0'!5:5),0),"")</f>
        <v/>
      </c>
      <c r="N16" s="27" t="str">
        <f>IFERROR(HLOOKUP(Таблица5[[#Headers],[Сумма РРЦ]],'WV 4.0'!$A:$N,ROW('WV 4.0'!5:5),0),"")</f>
        <v/>
      </c>
    </row>
    <row r="17" spans="1:14" x14ac:dyDescent="0.25">
      <c r="A17" s="29">
        <f>IFERROR('WV 4.0'!A6, " ")</f>
        <v>0</v>
      </c>
      <c r="B17" s="29">
        <f>IFERROR('WV 4.0'!B6, " ")</f>
        <v>0</v>
      </c>
      <c r="C17" s="29">
        <f>IFERROR('WV 4.0'!C6, " ")</f>
        <v>0</v>
      </c>
      <c r="D17" s="29">
        <f>IFERROR('WV 4.0'!D6, " ")</f>
        <v>0</v>
      </c>
      <c r="E17" s="29">
        <f>IFERROR('WV 4.0'!E6, " ")</f>
        <v>0</v>
      </c>
      <c r="F17" s="27">
        <f>IFERROR(ROUND(HLOOKUP(Таблица5[[#Headers],[Цена КП]],'WV 4.0'!$A:$N,ROW('WV 4.0'!6:6),0),0),"")</f>
        <v>0</v>
      </c>
      <c r="G17" s="27">
        <f>IFERROR(Таблица5[[#This Row],[Цена КП]]*Таблица5[[#This Row],[Кол-во]],"")</f>
        <v>0</v>
      </c>
      <c r="H17" s="42">
        <f>IFERROR(HLOOKUP(Таблица5[[#Headers],[Комментарии]],'WV 4.0'!$A:$N,ROW('WV 4.0'!6:6),0),"")</f>
        <v>0</v>
      </c>
      <c r="I17" s="42">
        <f>IFERROR(HLOOKUP(Таблица5[[#Headers],[Срок поставки]],'WV 4.0'!$A:$N,ROW('WV 4.0'!6:6),0),"")</f>
        <v>0</v>
      </c>
      <c r="J17" s="27" t="str">
        <f>IFERROR(HLOOKUP(Таблица5[[#Headers],[Цена КазНИИСА]],'WV 4.0'!$A:$N,ROW('WV 4.0'!6:6),0),"")</f>
        <v/>
      </c>
      <c r="K17" s="27" t="str">
        <f>IFERROR(HLOOKUP(Таблица5[[#Headers],[Сумма КазНИИСА]],'WV 4.0'!$A:$N,ROW('WV 4.0'!6:6),0),"")</f>
        <v/>
      </c>
      <c r="L17" s="27">
        <f>IFERROR(HLOOKUP(Таблица5[[#Headers],[Код КазНИИСА]],'WV 4.0'!$A:$N,ROW('WV 4.0'!6:6),0),"")</f>
        <v>0</v>
      </c>
      <c r="M17" s="27" t="str">
        <f>IFERROR(HLOOKUP(Таблица5[[#Headers],[РРЦ в тнг]],'WV 4.0'!$A:$N,ROW('WV 4.0'!6:6),0),"")</f>
        <v/>
      </c>
      <c r="N17" s="27" t="str">
        <f>IFERROR(HLOOKUP(Таблица5[[#Headers],[Сумма РРЦ]],'WV 4.0'!$A:$N,ROW('WV 4.0'!6:6),0),"")</f>
        <v/>
      </c>
    </row>
    <row r="18" spans="1:14" x14ac:dyDescent="0.25">
      <c r="A18" s="29">
        <f>IFERROR('WV 4.0'!A7, " ")</f>
        <v>0</v>
      </c>
      <c r="B18" s="29">
        <f>IFERROR('WV 4.0'!B7, " ")</f>
        <v>0</v>
      </c>
      <c r="C18" s="29">
        <f>IFERROR('WV 4.0'!C7, " ")</f>
        <v>0</v>
      </c>
      <c r="D18" s="29">
        <f>IFERROR('WV 4.0'!D7, " ")</f>
        <v>0</v>
      </c>
      <c r="E18" s="29">
        <f>IFERROR('WV 4.0'!E7, " ")</f>
        <v>0</v>
      </c>
      <c r="F18" s="27">
        <f>IFERROR(ROUND(HLOOKUP(Таблица5[[#Headers],[Цена КП]],'WV 4.0'!$A:$N,ROW('WV 4.0'!7:7),0),0),"")</f>
        <v>0</v>
      </c>
      <c r="G18" s="27">
        <f>IFERROR(Таблица5[[#This Row],[Цена КП]]*Таблица5[[#This Row],[Кол-во]],"")</f>
        <v>0</v>
      </c>
      <c r="H18" s="42">
        <f>IFERROR(HLOOKUP(Таблица5[[#Headers],[Комментарии]],'WV 4.0'!$A:$N,ROW('WV 4.0'!7:7),0),"")</f>
        <v>0</v>
      </c>
      <c r="I18" s="42">
        <f>IFERROR(HLOOKUP(Таблица5[[#Headers],[Срок поставки]],'WV 4.0'!$A:$N,ROW('WV 4.0'!7:7),0),"")</f>
        <v>0</v>
      </c>
      <c r="J18" s="27" t="str">
        <f>IFERROR(HLOOKUP(Таблица5[[#Headers],[Цена КазНИИСА]],'WV 4.0'!$A:$N,ROW('WV 4.0'!7:7),0),"")</f>
        <v/>
      </c>
      <c r="K18" s="27" t="str">
        <f>IFERROR(HLOOKUP(Таблица5[[#Headers],[Сумма КазНИИСА]],'WV 4.0'!$A:$N,ROW('WV 4.0'!7:7),0),"")</f>
        <v/>
      </c>
      <c r="L18" s="27">
        <f>IFERROR(HLOOKUP(Таблица5[[#Headers],[Код КазНИИСА]],'WV 4.0'!$A:$N,ROW('WV 4.0'!7:7),0),"")</f>
        <v>0</v>
      </c>
      <c r="M18" s="27" t="str">
        <f>IFERROR(HLOOKUP(Таблица5[[#Headers],[РРЦ в тнг]],'WV 4.0'!$A:$N,ROW('WV 4.0'!7:7),0),"")</f>
        <v/>
      </c>
      <c r="N18" s="27" t="str">
        <f>IFERROR(HLOOKUP(Таблица5[[#Headers],[Сумма РРЦ]],'WV 4.0'!$A:$N,ROW('WV 4.0'!7:7),0),"")</f>
        <v/>
      </c>
    </row>
    <row r="19" spans="1:14" x14ac:dyDescent="0.25">
      <c r="A19" s="29">
        <f>IFERROR('WV 4.0'!A8, " ")</f>
        <v>0</v>
      </c>
      <c r="B19" s="29">
        <f>IFERROR('WV 4.0'!B8, " ")</f>
        <v>0</v>
      </c>
      <c r="C19" s="29">
        <f>IFERROR('WV 4.0'!C8, " ")</f>
        <v>0</v>
      </c>
      <c r="D19" s="29">
        <f>IFERROR('WV 4.0'!D8, " ")</f>
        <v>0</v>
      </c>
      <c r="E19" s="29">
        <f>IFERROR('WV 4.0'!E8, " ")</f>
        <v>0</v>
      </c>
      <c r="F19" s="27">
        <f>IFERROR(ROUND(HLOOKUP(Таблица5[[#Headers],[Цена КП]],'WV 4.0'!$A:$N,ROW('WV 4.0'!8:8),0),0),"")</f>
        <v>0</v>
      </c>
      <c r="G19" s="27">
        <f>IFERROR(Таблица5[[#This Row],[Цена КП]]*Таблица5[[#This Row],[Кол-во]],"")</f>
        <v>0</v>
      </c>
      <c r="H19" s="42">
        <f>IFERROR(HLOOKUP(Таблица5[[#Headers],[Комментарии]],'WV 4.0'!$A:$N,ROW('WV 4.0'!8:8),0),"")</f>
        <v>0</v>
      </c>
      <c r="I19" s="42">
        <f>IFERROR(HLOOKUP(Таблица5[[#Headers],[Срок поставки]],'WV 4.0'!$A:$N,ROW('WV 4.0'!8:8),0),"")</f>
        <v>0</v>
      </c>
      <c r="J19" s="27" t="str">
        <f>IFERROR(HLOOKUP(Таблица5[[#Headers],[Цена КазНИИСА]],'WV 4.0'!$A:$N,ROW('WV 4.0'!8:8),0),"")</f>
        <v/>
      </c>
      <c r="K19" s="27" t="str">
        <f>IFERROR(HLOOKUP(Таблица5[[#Headers],[Сумма КазНИИСА]],'WV 4.0'!$A:$N,ROW('WV 4.0'!8:8),0),"")</f>
        <v/>
      </c>
      <c r="L19" s="27">
        <f>IFERROR(HLOOKUP(Таблица5[[#Headers],[Код КазНИИСА]],'WV 4.0'!$A:$N,ROW('WV 4.0'!8:8),0),"")</f>
        <v>0</v>
      </c>
      <c r="M19" s="27" t="str">
        <f>IFERROR(HLOOKUP(Таблица5[[#Headers],[РРЦ в тнг]],'WV 4.0'!$A:$N,ROW('WV 4.0'!8:8),0),"")</f>
        <v/>
      </c>
      <c r="N19" s="27" t="str">
        <f>IFERROR(HLOOKUP(Таблица5[[#Headers],[Сумма РРЦ]],'WV 4.0'!$A:$N,ROW('WV 4.0'!8:8),0),"")</f>
        <v/>
      </c>
    </row>
    <row r="20" spans="1:14" x14ac:dyDescent="0.25">
      <c r="A20" s="29">
        <f>IFERROR('WV 4.0'!A9, " ")</f>
        <v>0</v>
      </c>
      <c r="B20" s="29">
        <f>IFERROR('WV 4.0'!B9, " ")</f>
        <v>0</v>
      </c>
      <c r="C20" s="29">
        <f>IFERROR('WV 4.0'!C9, " ")</f>
        <v>0</v>
      </c>
      <c r="D20" s="29">
        <f>IFERROR('WV 4.0'!D9, " ")</f>
        <v>0</v>
      </c>
      <c r="E20" s="29">
        <f>IFERROR('WV 4.0'!E9, " ")</f>
        <v>0</v>
      </c>
      <c r="F20" s="27">
        <f>IFERROR(ROUND(HLOOKUP(Таблица5[[#Headers],[Цена КП]],'WV 4.0'!$A:$N,ROW('WV 4.0'!9:9),0),0),"")</f>
        <v>0</v>
      </c>
      <c r="G20" s="27">
        <f>IFERROR(Таблица5[[#This Row],[Цена КП]]*Таблица5[[#This Row],[Кол-во]],"")</f>
        <v>0</v>
      </c>
      <c r="H20" s="42">
        <f>IFERROR(HLOOKUP(Таблица5[[#Headers],[Комментарии]],'WV 4.0'!$A:$N,ROW('WV 4.0'!9:9),0),"")</f>
        <v>0</v>
      </c>
      <c r="I20" s="42">
        <f>IFERROR(HLOOKUP(Таблица5[[#Headers],[Срок поставки]],'WV 4.0'!$A:$N,ROW('WV 4.0'!9:9),0),"")</f>
        <v>0</v>
      </c>
      <c r="J20" s="27" t="str">
        <f>IFERROR(HLOOKUP(Таблица5[[#Headers],[Цена КазНИИСА]],'WV 4.0'!$A:$N,ROW('WV 4.0'!9:9),0),"")</f>
        <v/>
      </c>
      <c r="K20" s="27" t="str">
        <f>IFERROR(HLOOKUP(Таблица5[[#Headers],[Сумма КазНИИСА]],'WV 4.0'!$A:$N,ROW('WV 4.0'!9:9),0),"")</f>
        <v/>
      </c>
      <c r="L20" s="27">
        <f>IFERROR(HLOOKUP(Таблица5[[#Headers],[Код КазНИИСА]],'WV 4.0'!$A:$N,ROW('WV 4.0'!9:9),0),"")</f>
        <v>0</v>
      </c>
      <c r="M20" s="27" t="str">
        <f>IFERROR(HLOOKUP(Таблица5[[#Headers],[РРЦ в тнг]],'WV 4.0'!$A:$N,ROW('WV 4.0'!9:9),0),"")</f>
        <v/>
      </c>
      <c r="N20" s="27" t="str">
        <f>IFERROR(HLOOKUP(Таблица5[[#Headers],[Сумма РРЦ]],'WV 4.0'!$A:$N,ROW('WV 4.0'!9:9),0),"")</f>
        <v/>
      </c>
    </row>
    <row r="21" spans="1:14" x14ac:dyDescent="0.25">
      <c r="A21" s="29">
        <f>IFERROR('WV 4.0'!A10, " ")</f>
        <v>0</v>
      </c>
      <c r="B21" s="29">
        <f>IFERROR('WV 4.0'!B10, " ")</f>
        <v>0</v>
      </c>
      <c r="C21" s="29">
        <f>IFERROR('WV 4.0'!C10, " ")</f>
        <v>0</v>
      </c>
      <c r="D21" s="29">
        <f>IFERROR('WV 4.0'!D10, " ")</f>
        <v>0</v>
      </c>
      <c r="E21" s="29">
        <f>IFERROR('WV 4.0'!E10, " ")</f>
        <v>0</v>
      </c>
      <c r="F21" s="27">
        <f>IFERROR(ROUND(HLOOKUP(Таблица5[[#Headers],[Цена КП]],'WV 4.0'!$A:$N,ROW('WV 4.0'!10:10),0),0),"")</f>
        <v>0</v>
      </c>
      <c r="G21" s="27">
        <f>IFERROR(Таблица5[[#This Row],[Цена КП]]*Таблица5[[#This Row],[Кол-во]],"")</f>
        <v>0</v>
      </c>
      <c r="H21" s="42">
        <f>IFERROR(HLOOKUP(Таблица5[[#Headers],[Комментарии]],'WV 4.0'!$A:$N,ROW('WV 4.0'!10:10),0),"")</f>
        <v>0</v>
      </c>
      <c r="I21" s="42">
        <f>IFERROR(HLOOKUP(Таблица5[[#Headers],[Срок поставки]],'WV 4.0'!$A:$N,ROW('WV 4.0'!10:10),0),"")</f>
        <v>0</v>
      </c>
      <c r="J21" s="27" t="str">
        <f>IFERROR(HLOOKUP(Таблица5[[#Headers],[Цена КазНИИСА]],'WV 4.0'!$A:$N,ROW('WV 4.0'!10:10),0),"")</f>
        <v/>
      </c>
      <c r="K21" s="27" t="str">
        <f>IFERROR(HLOOKUP(Таблица5[[#Headers],[Сумма КазНИИСА]],'WV 4.0'!$A:$N,ROW('WV 4.0'!10:10),0),"")</f>
        <v/>
      </c>
      <c r="L21" s="27">
        <f>IFERROR(HLOOKUP(Таблица5[[#Headers],[Код КазНИИСА]],'WV 4.0'!$A:$N,ROW('WV 4.0'!10:10),0),"")</f>
        <v>0</v>
      </c>
      <c r="M21" s="27" t="str">
        <f>IFERROR(HLOOKUP(Таблица5[[#Headers],[РРЦ в тнг]],'WV 4.0'!$A:$N,ROW('WV 4.0'!10:10),0),"")</f>
        <v/>
      </c>
      <c r="N21" s="27" t="str">
        <f>IFERROR(HLOOKUP(Таблица5[[#Headers],[Сумма РРЦ]],'WV 4.0'!$A:$N,ROW('WV 4.0'!10:10),0),"")</f>
        <v/>
      </c>
    </row>
    <row r="22" spans="1:14" x14ac:dyDescent="0.25">
      <c r="A22" s="29">
        <f>IFERROR('WV 4.0'!A11, " ")</f>
        <v>0</v>
      </c>
      <c r="B22" s="29">
        <f>IFERROR('WV 4.0'!B11, " ")</f>
        <v>0</v>
      </c>
      <c r="C22" s="29">
        <f>IFERROR('WV 4.0'!C11, " ")</f>
        <v>0</v>
      </c>
      <c r="D22" s="29">
        <f>IFERROR('WV 4.0'!D11, " ")</f>
        <v>0</v>
      </c>
      <c r="E22" s="29">
        <f>IFERROR('WV 4.0'!E11, " ")</f>
        <v>0</v>
      </c>
      <c r="F22" s="27">
        <f>IFERROR(ROUND(HLOOKUP(Таблица5[[#Headers],[Цена КП]],'WV 4.0'!$A:$N,ROW('WV 4.0'!11:11),0),0),"")</f>
        <v>0</v>
      </c>
      <c r="G22" s="27">
        <f>IFERROR(Таблица5[[#This Row],[Цена КП]]*Таблица5[[#This Row],[Кол-во]],"")</f>
        <v>0</v>
      </c>
      <c r="H22" s="42">
        <f>IFERROR(HLOOKUP(Таблица5[[#Headers],[Комментарии]],'WV 4.0'!$A:$N,ROW('WV 4.0'!11:11),0),"")</f>
        <v>0</v>
      </c>
      <c r="I22" s="42">
        <f>IFERROR(HLOOKUP(Таблица5[[#Headers],[Срок поставки]],'WV 4.0'!$A:$N,ROW('WV 4.0'!11:11),0),"")</f>
        <v>0</v>
      </c>
      <c r="J22" s="27" t="str">
        <f>IFERROR(HLOOKUP(Таблица5[[#Headers],[Цена КазНИИСА]],'WV 4.0'!$A:$N,ROW('WV 4.0'!11:11),0),"")</f>
        <v/>
      </c>
      <c r="K22" s="27" t="str">
        <f>IFERROR(HLOOKUP(Таблица5[[#Headers],[Сумма КазНИИСА]],'WV 4.0'!$A:$N,ROW('WV 4.0'!11:11),0),"")</f>
        <v/>
      </c>
      <c r="L22" s="27">
        <f>IFERROR(HLOOKUP(Таблица5[[#Headers],[Код КазНИИСА]],'WV 4.0'!$A:$N,ROW('WV 4.0'!11:11),0),"")</f>
        <v>0</v>
      </c>
      <c r="M22" s="27" t="str">
        <f>IFERROR(HLOOKUP(Таблица5[[#Headers],[РРЦ в тнг]],'WV 4.0'!$A:$N,ROW('WV 4.0'!11:11),0),"")</f>
        <v/>
      </c>
      <c r="N22" s="27" t="str">
        <f>IFERROR(HLOOKUP(Таблица5[[#Headers],[Сумма РРЦ]],'WV 4.0'!$A:$N,ROW('WV 4.0'!11:11),0),"")</f>
        <v/>
      </c>
    </row>
    <row r="23" spans="1:14" x14ac:dyDescent="0.25">
      <c r="A23" s="29">
        <f>IFERROR('WV 4.0'!A12, " ")</f>
        <v>0</v>
      </c>
      <c r="B23" s="29">
        <f>IFERROR('WV 4.0'!B12, " ")</f>
        <v>0</v>
      </c>
      <c r="C23" s="29">
        <f>IFERROR('WV 4.0'!C12, " ")</f>
        <v>0</v>
      </c>
      <c r="D23" s="29">
        <f>IFERROR('WV 4.0'!D12, " ")</f>
        <v>0</v>
      </c>
      <c r="E23" s="29">
        <f>IFERROR('WV 4.0'!E12, " ")</f>
        <v>0</v>
      </c>
      <c r="F23" s="27">
        <f>IFERROR(ROUND(HLOOKUP(Таблица5[[#Headers],[Цена КП]],'WV 4.0'!$A:$N,ROW('WV 4.0'!12:12),0),0),"")</f>
        <v>0</v>
      </c>
      <c r="G23" s="27">
        <f>IFERROR(Таблица5[[#This Row],[Цена КП]]*Таблица5[[#This Row],[Кол-во]],"")</f>
        <v>0</v>
      </c>
      <c r="H23" s="42">
        <f>IFERROR(HLOOKUP(Таблица5[[#Headers],[Комментарии]],'WV 4.0'!$A:$N,ROW('WV 4.0'!12:12),0),"")</f>
        <v>0</v>
      </c>
      <c r="I23" s="42">
        <f>IFERROR(HLOOKUP(Таблица5[[#Headers],[Срок поставки]],'WV 4.0'!$A:$N,ROW('WV 4.0'!12:12),0),"")</f>
        <v>0</v>
      </c>
      <c r="J23" s="27" t="str">
        <f>IFERROR(HLOOKUP(Таблица5[[#Headers],[Цена КазНИИСА]],'WV 4.0'!$A:$N,ROW('WV 4.0'!12:12),0),"")</f>
        <v/>
      </c>
      <c r="K23" s="27" t="str">
        <f>IFERROR(HLOOKUP(Таблица5[[#Headers],[Сумма КазНИИСА]],'WV 4.0'!$A:$N,ROW('WV 4.0'!12:12),0),"")</f>
        <v/>
      </c>
      <c r="L23" s="27">
        <f>IFERROR(HLOOKUP(Таблица5[[#Headers],[Код КазНИИСА]],'WV 4.0'!$A:$N,ROW('WV 4.0'!12:12),0),"")</f>
        <v>0</v>
      </c>
      <c r="M23" s="27" t="str">
        <f>IFERROR(HLOOKUP(Таблица5[[#Headers],[РРЦ в тнг]],'WV 4.0'!$A:$N,ROW('WV 4.0'!12:12),0),"")</f>
        <v/>
      </c>
      <c r="N23" s="27" t="str">
        <f>IFERROR(HLOOKUP(Таблица5[[#Headers],[Сумма РРЦ]],'WV 4.0'!$A:$N,ROW('WV 4.0'!12:12),0),"")</f>
        <v/>
      </c>
    </row>
    <row r="24" spans="1:14" x14ac:dyDescent="0.25">
      <c r="A24" s="29">
        <f>IFERROR('WV 4.0'!A13, " ")</f>
        <v>0</v>
      </c>
      <c r="B24" s="29">
        <f>IFERROR('WV 4.0'!B13, " ")</f>
        <v>0</v>
      </c>
      <c r="C24" s="29">
        <f>IFERROR('WV 4.0'!C13, " ")</f>
        <v>0</v>
      </c>
      <c r="D24" s="29">
        <f>IFERROR('WV 4.0'!D13, " ")</f>
        <v>0</v>
      </c>
      <c r="E24" s="29">
        <f>IFERROR('WV 4.0'!E13, " ")</f>
        <v>0</v>
      </c>
      <c r="F24" s="27">
        <f>IFERROR(ROUND(HLOOKUP(Таблица5[[#Headers],[Цена КП]],'WV 4.0'!$A:$N,ROW('WV 4.0'!13:13),0),0),"")</f>
        <v>0</v>
      </c>
      <c r="G24" s="27">
        <f>IFERROR(Таблица5[[#This Row],[Цена КП]]*Таблица5[[#This Row],[Кол-во]],"")</f>
        <v>0</v>
      </c>
      <c r="H24" s="42">
        <f>IFERROR(HLOOKUP(Таблица5[[#Headers],[Комментарии]],'WV 4.0'!$A:$N,ROW('WV 4.0'!13:13),0),"")</f>
        <v>0</v>
      </c>
      <c r="I24" s="42">
        <f>IFERROR(HLOOKUP(Таблица5[[#Headers],[Срок поставки]],'WV 4.0'!$A:$N,ROW('WV 4.0'!13:13),0),"")</f>
        <v>0</v>
      </c>
      <c r="J24" s="27" t="str">
        <f>IFERROR(HLOOKUP(Таблица5[[#Headers],[Цена КазНИИСА]],'WV 4.0'!$A:$N,ROW('WV 4.0'!13:13),0),"")</f>
        <v/>
      </c>
      <c r="K24" s="27" t="str">
        <f>IFERROR(HLOOKUP(Таблица5[[#Headers],[Сумма КазНИИСА]],'WV 4.0'!$A:$N,ROW('WV 4.0'!13:13),0),"")</f>
        <v/>
      </c>
      <c r="L24" s="27">
        <f>IFERROR(HLOOKUP(Таблица5[[#Headers],[Код КазНИИСА]],'WV 4.0'!$A:$N,ROW('WV 4.0'!13:13),0),"")</f>
        <v>0</v>
      </c>
      <c r="M24" s="27" t="str">
        <f>IFERROR(HLOOKUP(Таблица5[[#Headers],[РРЦ в тнг]],'WV 4.0'!$A:$N,ROW('WV 4.0'!13:13),0),"")</f>
        <v/>
      </c>
      <c r="N24" s="27" t="str">
        <f>IFERROR(HLOOKUP(Таблица5[[#Headers],[Сумма РРЦ]],'WV 4.0'!$A:$N,ROW('WV 4.0'!13:13),0),"")</f>
        <v/>
      </c>
    </row>
    <row r="25" spans="1:14" x14ac:dyDescent="0.25">
      <c r="A25" s="29">
        <f>IFERROR('WV 4.0'!A14, " ")</f>
        <v>0</v>
      </c>
      <c r="B25" s="29">
        <f>IFERROR('WV 4.0'!B14, " ")</f>
        <v>0</v>
      </c>
      <c r="C25" s="29">
        <f>IFERROR('WV 4.0'!C14, " ")</f>
        <v>0</v>
      </c>
      <c r="D25" s="29">
        <f>IFERROR('WV 4.0'!D14, " ")</f>
        <v>0</v>
      </c>
      <c r="E25" s="29">
        <f>IFERROR('WV 4.0'!E14, " ")</f>
        <v>0</v>
      </c>
      <c r="F25" s="27">
        <f>IFERROR(ROUND(HLOOKUP(Таблица5[[#Headers],[Цена КП]],'WV 4.0'!$A:$N,ROW('WV 4.0'!14:14),0),0),"")</f>
        <v>0</v>
      </c>
      <c r="G25" s="27">
        <f>IFERROR(Таблица5[[#This Row],[Цена КП]]*Таблица5[[#This Row],[Кол-во]],"")</f>
        <v>0</v>
      </c>
      <c r="H25" s="42">
        <f>IFERROR(HLOOKUP(Таблица5[[#Headers],[Комментарии]],'WV 4.0'!$A:$N,ROW('WV 4.0'!14:14),0),"")</f>
        <v>0</v>
      </c>
      <c r="I25" s="42">
        <f>IFERROR(HLOOKUP(Таблица5[[#Headers],[Срок поставки]],'WV 4.0'!$A:$N,ROW('WV 4.0'!14:14),0),"")</f>
        <v>0</v>
      </c>
      <c r="J25" s="27" t="str">
        <f>IFERROR(HLOOKUP(Таблица5[[#Headers],[Цена КазНИИСА]],'WV 4.0'!$A:$N,ROW('WV 4.0'!14:14),0),"")</f>
        <v/>
      </c>
      <c r="K25" s="27" t="str">
        <f>IFERROR(HLOOKUP(Таблица5[[#Headers],[Сумма КазНИИСА]],'WV 4.0'!$A:$N,ROW('WV 4.0'!14:14),0),"")</f>
        <v/>
      </c>
      <c r="L25" s="27">
        <f>IFERROR(HLOOKUP(Таблица5[[#Headers],[Код КазНИИСА]],'WV 4.0'!$A:$N,ROW('WV 4.0'!14:14),0),"")</f>
        <v>0</v>
      </c>
      <c r="M25" s="27" t="str">
        <f>IFERROR(HLOOKUP(Таблица5[[#Headers],[РРЦ в тнг]],'WV 4.0'!$A:$N,ROW('WV 4.0'!14:14),0),"")</f>
        <v/>
      </c>
      <c r="N25" s="27" t="str">
        <f>IFERROR(HLOOKUP(Таблица5[[#Headers],[Сумма РРЦ]],'WV 4.0'!$A:$N,ROW('WV 4.0'!14:14),0),"")</f>
        <v/>
      </c>
    </row>
    <row r="26" spans="1:14" x14ac:dyDescent="0.25">
      <c r="A26" s="29">
        <f>IFERROR('WV 4.0'!A15, " ")</f>
        <v>0</v>
      </c>
      <c r="B26" s="29">
        <f>IFERROR('WV 4.0'!B15, " ")</f>
        <v>0</v>
      </c>
      <c r="C26" s="29">
        <f>IFERROR('WV 4.0'!C15, " ")</f>
        <v>0</v>
      </c>
      <c r="D26" s="29">
        <f>IFERROR('WV 4.0'!D15, " ")</f>
        <v>0</v>
      </c>
      <c r="E26" s="29">
        <f>IFERROR('WV 4.0'!E15, " ")</f>
        <v>0</v>
      </c>
      <c r="F26" s="27">
        <f>IFERROR(ROUND(HLOOKUP(Таблица5[[#Headers],[Цена КП]],'WV 4.0'!$A:$N,ROW('WV 4.0'!15:15),0),0),"")</f>
        <v>0</v>
      </c>
      <c r="G26" s="27">
        <f>IFERROR(Таблица5[[#This Row],[Цена КП]]*Таблица5[[#This Row],[Кол-во]],"")</f>
        <v>0</v>
      </c>
      <c r="H26" s="42">
        <f>IFERROR(HLOOKUP(Таблица5[[#Headers],[Комментарии]],'WV 4.0'!$A:$N,ROW('WV 4.0'!15:15),0),"")</f>
        <v>0</v>
      </c>
      <c r="I26" s="42">
        <f>IFERROR(HLOOKUP(Таблица5[[#Headers],[Срок поставки]],'WV 4.0'!$A:$N,ROW('WV 4.0'!15:15),0),"")</f>
        <v>0</v>
      </c>
      <c r="J26" s="27" t="str">
        <f>IFERROR(HLOOKUP(Таблица5[[#Headers],[Цена КазНИИСА]],'WV 4.0'!$A:$N,ROW('WV 4.0'!15:15),0),"")</f>
        <v/>
      </c>
      <c r="K26" s="27" t="str">
        <f>IFERROR(HLOOKUP(Таблица5[[#Headers],[Сумма КазНИИСА]],'WV 4.0'!$A:$N,ROW('WV 4.0'!15:15),0),"")</f>
        <v/>
      </c>
      <c r="L26" s="27">
        <f>IFERROR(HLOOKUP(Таблица5[[#Headers],[Код КазНИИСА]],'WV 4.0'!$A:$N,ROW('WV 4.0'!15:15),0),"")</f>
        <v>0</v>
      </c>
      <c r="M26" s="27" t="str">
        <f>IFERROR(HLOOKUP(Таблица5[[#Headers],[РРЦ в тнг]],'WV 4.0'!$A:$N,ROW('WV 4.0'!15:15),0),"")</f>
        <v/>
      </c>
      <c r="N26" s="27" t="str">
        <f>IFERROR(HLOOKUP(Таблица5[[#Headers],[Сумма РРЦ]],'WV 4.0'!$A:$N,ROW('WV 4.0'!15:15),0),"")</f>
        <v/>
      </c>
    </row>
    <row r="27" spans="1:14" x14ac:dyDescent="0.25">
      <c r="A27" s="29">
        <f>IFERROR('WV 4.0'!A16, " ")</f>
        <v>0</v>
      </c>
      <c r="B27" s="29">
        <f>IFERROR('WV 4.0'!B16, " ")</f>
        <v>0</v>
      </c>
      <c r="C27" s="29">
        <f>IFERROR('WV 4.0'!C16, " ")</f>
        <v>0</v>
      </c>
      <c r="D27" s="29">
        <f>IFERROR('WV 4.0'!D16, " ")</f>
        <v>0</v>
      </c>
      <c r="E27" s="29">
        <f>IFERROR('WV 4.0'!E16, " ")</f>
        <v>0</v>
      </c>
      <c r="F27" s="27">
        <f>IFERROR(ROUND(HLOOKUP(Таблица5[[#Headers],[Цена КП]],'WV 4.0'!$A:$N,ROW('WV 4.0'!16:16),0),0),"")</f>
        <v>0</v>
      </c>
      <c r="G27" s="27">
        <f>IFERROR(Таблица5[[#This Row],[Цена КП]]*Таблица5[[#This Row],[Кол-во]],"")</f>
        <v>0</v>
      </c>
      <c r="H27" s="42">
        <f>IFERROR(HLOOKUP(Таблица5[[#Headers],[Комментарии]],'WV 4.0'!$A:$N,ROW('WV 4.0'!16:16),0),"")</f>
        <v>0</v>
      </c>
      <c r="I27" s="42">
        <f>IFERROR(HLOOKUP(Таблица5[[#Headers],[Срок поставки]],'WV 4.0'!$A:$N,ROW('WV 4.0'!16:16),0),"")</f>
        <v>0</v>
      </c>
      <c r="J27" s="27" t="str">
        <f>IFERROR(HLOOKUP(Таблица5[[#Headers],[Цена КазНИИСА]],'WV 4.0'!$A:$N,ROW('WV 4.0'!16:16),0),"")</f>
        <v/>
      </c>
      <c r="K27" s="27" t="str">
        <f>IFERROR(HLOOKUP(Таблица5[[#Headers],[Сумма КазНИИСА]],'WV 4.0'!$A:$N,ROW('WV 4.0'!16:16),0),"")</f>
        <v/>
      </c>
      <c r="L27" s="27">
        <f>IFERROR(HLOOKUP(Таблица5[[#Headers],[Код КазНИИСА]],'WV 4.0'!$A:$N,ROW('WV 4.0'!16:16),0),"")</f>
        <v>0</v>
      </c>
      <c r="M27" s="27" t="str">
        <f>IFERROR(HLOOKUP(Таблица5[[#Headers],[РРЦ в тнг]],'WV 4.0'!$A:$N,ROW('WV 4.0'!16:16),0),"")</f>
        <v/>
      </c>
      <c r="N27" s="27" t="str">
        <f>IFERROR(HLOOKUP(Таблица5[[#Headers],[Сумма РРЦ]],'WV 4.0'!$A:$N,ROW('WV 4.0'!16:16),0),"")</f>
        <v/>
      </c>
    </row>
    <row r="28" spans="1:14" x14ac:dyDescent="0.25">
      <c r="A28" s="29">
        <f>IFERROR('WV 4.0'!A17, " ")</f>
        <v>0</v>
      </c>
      <c r="B28" s="29">
        <f>IFERROR('WV 4.0'!B17, " ")</f>
        <v>0</v>
      </c>
      <c r="C28" s="29">
        <f>IFERROR('WV 4.0'!C17, " ")</f>
        <v>0</v>
      </c>
      <c r="D28" s="29">
        <f>IFERROR('WV 4.0'!D17, " ")</f>
        <v>0</v>
      </c>
      <c r="E28" s="29">
        <f>IFERROR('WV 4.0'!E17, " ")</f>
        <v>0</v>
      </c>
      <c r="F28" s="27">
        <f>IFERROR(ROUND(HLOOKUP(Таблица5[[#Headers],[Цена КП]],'WV 4.0'!$A:$N,ROW('WV 4.0'!17:17),0),0),"")</f>
        <v>0</v>
      </c>
      <c r="G28" s="27">
        <f>IFERROR(Таблица5[[#This Row],[Цена КП]]*Таблица5[[#This Row],[Кол-во]],"")</f>
        <v>0</v>
      </c>
      <c r="H28" s="42">
        <f>IFERROR(HLOOKUP(Таблица5[[#Headers],[Комментарии]],'WV 4.0'!$A:$N,ROW('WV 4.0'!17:17),0),"")</f>
        <v>0</v>
      </c>
      <c r="I28" s="42">
        <f>IFERROR(HLOOKUP(Таблица5[[#Headers],[Срок поставки]],'WV 4.0'!$A:$N,ROW('WV 4.0'!17:17),0),"")</f>
        <v>0</v>
      </c>
      <c r="J28" s="27" t="str">
        <f>IFERROR(HLOOKUP(Таблица5[[#Headers],[Цена КазНИИСА]],'WV 4.0'!$A:$N,ROW('WV 4.0'!17:17),0),"")</f>
        <v/>
      </c>
      <c r="K28" s="27" t="str">
        <f>IFERROR(HLOOKUP(Таблица5[[#Headers],[Сумма КазНИИСА]],'WV 4.0'!$A:$N,ROW('WV 4.0'!17:17),0),"")</f>
        <v/>
      </c>
      <c r="L28" s="27">
        <f>IFERROR(HLOOKUP(Таблица5[[#Headers],[Код КазНИИСА]],'WV 4.0'!$A:$N,ROW('WV 4.0'!17:17),0),"")</f>
        <v>0</v>
      </c>
      <c r="M28" s="27" t="str">
        <f>IFERROR(HLOOKUP(Таблица5[[#Headers],[РРЦ в тнг]],'WV 4.0'!$A:$N,ROW('WV 4.0'!17:17),0),"")</f>
        <v/>
      </c>
      <c r="N28" s="27" t="str">
        <f>IFERROR(HLOOKUP(Таблица5[[#Headers],[Сумма РРЦ]],'WV 4.0'!$A:$N,ROW('WV 4.0'!17:17),0),"")</f>
        <v/>
      </c>
    </row>
    <row r="29" spans="1:14" x14ac:dyDescent="0.25">
      <c r="A29" s="29">
        <f>IFERROR('WV 4.0'!A18, " ")</f>
        <v>0</v>
      </c>
      <c r="B29" s="29">
        <f>IFERROR('WV 4.0'!B18, " ")</f>
        <v>0</v>
      </c>
      <c r="C29" s="29">
        <f>IFERROR('WV 4.0'!C18, " ")</f>
        <v>0</v>
      </c>
      <c r="D29" s="29">
        <f>IFERROR('WV 4.0'!D18, " ")</f>
        <v>0</v>
      </c>
      <c r="E29" s="29">
        <f>IFERROR('WV 4.0'!E18, " ")</f>
        <v>0</v>
      </c>
      <c r="F29" s="27">
        <f>IFERROR(ROUND(HLOOKUP(Таблица5[[#Headers],[Цена КП]],'WV 4.0'!$A:$N,ROW('WV 4.0'!18:18),0),0),"")</f>
        <v>0</v>
      </c>
      <c r="G29" s="27">
        <f>IFERROR(Таблица5[[#This Row],[Цена КП]]*Таблица5[[#This Row],[Кол-во]],"")</f>
        <v>0</v>
      </c>
      <c r="H29" s="42">
        <f>IFERROR(HLOOKUP(Таблица5[[#Headers],[Комментарии]],'WV 4.0'!$A:$N,ROW('WV 4.0'!18:18),0),"")</f>
        <v>0</v>
      </c>
      <c r="I29" s="42">
        <f>IFERROR(HLOOKUP(Таблица5[[#Headers],[Срок поставки]],'WV 4.0'!$A:$N,ROW('WV 4.0'!18:18),0),"")</f>
        <v>0</v>
      </c>
      <c r="J29" s="27" t="str">
        <f>IFERROR(HLOOKUP(Таблица5[[#Headers],[Цена КазНИИСА]],'WV 4.0'!$A:$N,ROW('WV 4.0'!18:18),0),"")</f>
        <v/>
      </c>
      <c r="K29" s="27" t="str">
        <f>IFERROR(HLOOKUP(Таблица5[[#Headers],[Сумма КазНИИСА]],'WV 4.0'!$A:$N,ROW('WV 4.0'!18:18),0),"")</f>
        <v/>
      </c>
      <c r="L29" s="27">
        <f>IFERROR(HLOOKUP(Таблица5[[#Headers],[Код КазНИИСА]],'WV 4.0'!$A:$N,ROW('WV 4.0'!18:18),0),"")</f>
        <v>0</v>
      </c>
      <c r="M29" s="27" t="str">
        <f>IFERROR(HLOOKUP(Таблица5[[#Headers],[РРЦ в тнг]],'WV 4.0'!$A:$N,ROW('WV 4.0'!18:18),0),"")</f>
        <v/>
      </c>
      <c r="N29" s="27" t="str">
        <f>IFERROR(HLOOKUP(Таблица5[[#Headers],[Сумма РРЦ]],'WV 4.0'!$A:$N,ROW('WV 4.0'!18:18),0),"")</f>
        <v/>
      </c>
    </row>
    <row r="30" spans="1:14" x14ac:dyDescent="0.25">
      <c r="A30" s="29">
        <f>IFERROR('WV 4.0'!A19, " ")</f>
        <v>0</v>
      </c>
      <c r="B30" s="29">
        <f>IFERROR('WV 4.0'!B19, " ")</f>
        <v>0</v>
      </c>
      <c r="C30" s="29">
        <f>IFERROR('WV 4.0'!C19, " ")</f>
        <v>0</v>
      </c>
      <c r="D30" s="29">
        <f>IFERROR('WV 4.0'!D19, " ")</f>
        <v>0</v>
      </c>
      <c r="E30" s="29">
        <f>IFERROR('WV 4.0'!E19, " ")</f>
        <v>0</v>
      </c>
      <c r="F30" s="27">
        <f>IFERROR(ROUND(HLOOKUP(Таблица5[[#Headers],[Цена КП]],'WV 4.0'!$A:$N,ROW('WV 4.0'!19:19),0),0),"")</f>
        <v>0</v>
      </c>
      <c r="G30" s="27">
        <f>IFERROR(Таблица5[[#This Row],[Цена КП]]*Таблица5[[#This Row],[Кол-во]],"")</f>
        <v>0</v>
      </c>
      <c r="H30" s="42">
        <f>IFERROR(HLOOKUP(Таблица5[[#Headers],[Комментарии]],'WV 4.0'!$A:$N,ROW('WV 4.0'!19:19),0),"")</f>
        <v>0</v>
      </c>
      <c r="I30" s="42">
        <f>IFERROR(HLOOKUP(Таблица5[[#Headers],[Срок поставки]],'WV 4.0'!$A:$N,ROW('WV 4.0'!19:19),0),"")</f>
        <v>0</v>
      </c>
      <c r="J30" s="27" t="str">
        <f>IFERROR(HLOOKUP(Таблица5[[#Headers],[Цена КазНИИСА]],'WV 4.0'!$A:$N,ROW('WV 4.0'!19:19),0),"")</f>
        <v/>
      </c>
      <c r="K30" s="27" t="str">
        <f>IFERROR(HLOOKUP(Таблица5[[#Headers],[Сумма КазНИИСА]],'WV 4.0'!$A:$N,ROW('WV 4.0'!19:19),0),"")</f>
        <v/>
      </c>
      <c r="L30" s="27">
        <f>IFERROR(HLOOKUP(Таблица5[[#Headers],[Код КазНИИСА]],'WV 4.0'!$A:$N,ROW('WV 4.0'!19:19),0),"")</f>
        <v>0</v>
      </c>
      <c r="M30" s="27" t="str">
        <f>IFERROR(HLOOKUP(Таблица5[[#Headers],[РРЦ в тнг]],'WV 4.0'!$A:$N,ROW('WV 4.0'!19:19),0),"")</f>
        <v/>
      </c>
      <c r="N30" s="27" t="str">
        <f>IFERROR(HLOOKUP(Таблица5[[#Headers],[Сумма РРЦ]],'WV 4.0'!$A:$N,ROW('WV 4.0'!19:19),0),"")</f>
        <v/>
      </c>
    </row>
    <row r="31" spans="1:14" x14ac:dyDescent="0.25">
      <c r="A31" s="29">
        <f>IFERROR('WV 4.0'!A20, " ")</f>
        <v>0</v>
      </c>
      <c r="B31" s="29">
        <f>IFERROR('WV 4.0'!B20, " ")</f>
        <v>0</v>
      </c>
      <c r="C31" s="29">
        <f>IFERROR('WV 4.0'!C20, " ")</f>
        <v>0</v>
      </c>
      <c r="D31" s="29">
        <f>IFERROR('WV 4.0'!D20, " ")</f>
        <v>0</v>
      </c>
      <c r="E31" s="29">
        <f>IFERROR('WV 4.0'!E20, " ")</f>
        <v>0</v>
      </c>
      <c r="F31" s="27">
        <f>IFERROR(ROUND(HLOOKUP(Таблица5[[#Headers],[Цена КП]],'WV 4.0'!$A:$N,ROW('WV 4.0'!20:20),0),0),"")</f>
        <v>0</v>
      </c>
      <c r="G31" s="27">
        <f>IFERROR(Таблица5[[#This Row],[Цена КП]]*Таблица5[[#This Row],[Кол-во]],"")</f>
        <v>0</v>
      </c>
      <c r="H31" s="42">
        <f>IFERROR(HLOOKUP(Таблица5[[#Headers],[Комментарии]],'WV 4.0'!$A:$N,ROW('WV 4.0'!20:20),0),"")</f>
        <v>0</v>
      </c>
      <c r="I31" s="42">
        <f>IFERROR(HLOOKUP(Таблица5[[#Headers],[Срок поставки]],'WV 4.0'!$A:$N,ROW('WV 4.0'!20:20),0),"")</f>
        <v>0</v>
      </c>
      <c r="J31" s="27" t="str">
        <f>IFERROR(HLOOKUP(Таблица5[[#Headers],[Цена КазНИИСА]],'WV 4.0'!$A:$N,ROW('WV 4.0'!20:20),0),"")</f>
        <v/>
      </c>
      <c r="K31" s="27" t="str">
        <f>IFERROR(HLOOKUP(Таблица5[[#Headers],[Сумма КазНИИСА]],'WV 4.0'!$A:$N,ROW('WV 4.0'!20:20),0),"")</f>
        <v/>
      </c>
      <c r="L31" s="27">
        <f>IFERROR(HLOOKUP(Таблица5[[#Headers],[Код КазНИИСА]],'WV 4.0'!$A:$N,ROW('WV 4.0'!20:20),0),"")</f>
        <v>0</v>
      </c>
      <c r="M31" s="27" t="str">
        <f>IFERROR(HLOOKUP(Таблица5[[#Headers],[РРЦ в тнг]],'WV 4.0'!$A:$N,ROW('WV 4.0'!20:20),0),"")</f>
        <v/>
      </c>
      <c r="N31" s="27" t="str">
        <f>IFERROR(HLOOKUP(Таблица5[[#Headers],[Сумма РРЦ]],'WV 4.0'!$A:$N,ROW('WV 4.0'!20:20),0),"")</f>
        <v/>
      </c>
    </row>
    <row r="32" spans="1:14" x14ac:dyDescent="0.25">
      <c r="A32" s="29">
        <f>IFERROR('WV 4.0'!A21, " ")</f>
        <v>0</v>
      </c>
      <c r="B32" s="29">
        <f>IFERROR('WV 4.0'!B21, " ")</f>
        <v>0</v>
      </c>
      <c r="C32" s="29">
        <f>IFERROR('WV 4.0'!C21, " ")</f>
        <v>0</v>
      </c>
      <c r="D32" s="29">
        <f>IFERROR('WV 4.0'!D21, " ")</f>
        <v>0</v>
      </c>
      <c r="E32" s="29">
        <f>IFERROR('WV 4.0'!E21, " ")</f>
        <v>0</v>
      </c>
      <c r="F32" s="27">
        <f>IFERROR(ROUND(HLOOKUP(Таблица5[[#Headers],[Цена КП]],'WV 4.0'!$A:$N,ROW('WV 4.0'!21:21),0),0),"")</f>
        <v>0</v>
      </c>
      <c r="G32" s="27">
        <f>IFERROR(Таблица5[[#This Row],[Цена КП]]*Таблица5[[#This Row],[Кол-во]],"")</f>
        <v>0</v>
      </c>
      <c r="H32" s="42">
        <f>IFERROR(HLOOKUP(Таблица5[[#Headers],[Комментарии]],'WV 4.0'!$A:$N,ROW('WV 4.0'!21:21),0),"")</f>
        <v>0</v>
      </c>
      <c r="I32" s="42">
        <f>IFERROR(HLOOKUP(Таблица5[[#Headers],[Срок поставки]],'WV 4.0'!$A:$N,ROW('WV 4.0'!21:21),0),"")</f>
        <v>0</v>
      </c>
      <c r="J32" s="27" t="str">
        <f>IFERROR(HLOOKUP(Таблица5[[#Headers],[Цена КазНИИСА]],'WV 4.0'!$A:$N,ROW('WV 4.0'!21:21),0),"")</f>
        <v/>
      </c>
      <c r="K32" s="27" t="str">
        <f>IFERROR(HLOOKUP(Таблица5[[#Headers],[Сумма КазНИИСА]],'WV 4.0'!$A:$N,ROW('WV 4.0'!21:21),0),"")</f>
        <v/>
      </c>
      <c r="L32" s="27">
        <f>IFERROR(HLOOKUP(Таблица5[[#Headers],[Код КазНИИСА]],'WV 4.0'!$A:$N,ROW('WV 4.0'!21:21),0),"")</f>
        <v>0</v>
      </c>
      <c r="M32" s="27" t="str">
        <f>IFERROR(HLOOKUP(Таблица5[[#Headers],[РРЦ в тнг]],'WV 4.0'!$A:$N,ROW('WV 4.0'!21:21),0),"")</f>
        <v/>
      </c>
      <c r="N32" s="27" t="str">
        <f>IFERROR(HLOOKUP(Таблица5[[#Headers],[Сумма РРЦ]],'WV 4.0'!$A:$N,ROW('WV 4.0'!21:21),0),"")</f>
        <v/>
      </c>
    </row>
    <row r="33" spans="1:14" x14ac:dyDescent="0.25">
      <c r="A33" s="29">
        <f>IFERROR('WV 4.0'!A22, " ")</f>
        <v>0</v>
      </c>
      <c r="B33" s="29">
        <f>IFERROR('WV 4.0'!B22, " ")</f>
        <v>0</v>
      </c>
      <c r="C33" s="29">
        <f>IFERROR('WV 4.0'!C22, " ")</f>
        <v>0</v>
      </c>
      <c r="D33" s="29">
        <f>IFERROR('WV 4.0'!D22, " ")</f>
        <v>0</v>
      </c>
      <c r="E33" s="29">
        <f>IFERROR('WV 4.0'!E22, " ")</f>
        <v>0</v>
      </c>
      <c r="F33" s="27">
        <f>IFERROR(ROUND(HLOOKUP(Таблица5[[#Headers],[Цена КП]],'WV 4.0'!$A:$N,ROW('WV 4.0'!22:22),0),0),"")</f>
        <v>0</v>
      </c>
      <c r="G33" s="27">
        <f>IFERROR(Таблица5[[#This Row],[Цена КП]]*Таблица5[[#This Row],[Кол-во]],"")</f>
        <v>0</v>
      </c>
      <c r="H33" s="42">
        <f>IFERROR(HLOOKUP(Таблица5[[#Headers],[Комментарии]],'WV 4.0'!$A:$N,ROW('WV 4.0'!22:22),0),"")</f>
        <v>0</v>
      </c>
      <c r="I33" s="42">
        <f>IFERROR(HLOOKUP(Таблица5[[#Headers],[Срок поставки]],'WV 4.0'!$A:$N,ROW('WV 4.0'!22:22),0),"")</f>
        <v>0</v>
      </c>
      <c r="J33" s="27" t="str">
        <f>IFERROR(HLOOKUP(Таблица5[[#Headers],[Цена КазНИИСА]],'WV 4.0'!$A:$N,ROW('WV 4.0'!22:22),0),"")</f>
        <v/>
      </c>
      <c r="K33" s="27" t="str">
        <f>IFERROR(HLOOKUP(Таблица5[[#Headers],[Сумма КазНИИСА]],'WV 4.0'!$A:$N,ROW('WV 4.0'!22:22),0),"")</f>
        <v/>
      </c>
      <c r="L33" s="27">
        <f>IFERROR(HLOOKUP(Таблица5[[#Headers],[Код КазНИИСА]],'WV 4.0'!$A:$N,ROW('WV 4.0'!22:22),0),"")</f>
        <v>0</v>
      </c>
      <c r="M33" s="27" t="str">
        <f>IFERROR(HLOOKUP(Таблица5[[#Headers],[РРЦ в тнг]],'WV 4.0'!$A:$N,ROW('WV 4.0'!22:22),0),"")</f>
        <v/>
      </c>
      <c r="N33" s="27" t="str">
        <f>IFERROR(HLOOKUP(Таблица5[[#Headers],[Сумма РРЦ]],'WV 4.0'!$A:$N,ROW('WV 4.0'!22:22),0),"")</f>
        <v/>
      </c>
    </row>
    <row r="34" spans="1:14" x14ac:dyDescent="0.25">
      <c r="A34" s="29">
        <f>IFERROR('WV 4.0'!A23, " ")</f>
        <v>0</v>
      </c>
      <c r="B34" s="29">
        <f>IFERROR('WV 4.0'!B23, " ")</f>
        <v>0</v>
      </c>
      <c r="C34" s="29">
        <f>IFERROR('WV 4.0'!C23, " ")</f>
        <v>0</v>
      </c>
      <c r="D34" s="29">
        <f>IFERROR('WV 4.0'!D23, " ")</f>
        <v>0</v>
      </c>
      <c r="E34" s="29">
        <f>IFERROR('WV 4.0'!E23, " ")</f>
        <v>0</v>
      </c>
      <c r="F34" s="27">
        <f>IFERROR(ROUND(HLOOKUP(Таблица5[[#Headers],[Цена КП]],'WV 4.0'!$A:$N,ROW('WV 4.0'!23:23),0),0),"")</f>
        <v>0</v>
      </c>
      <c r="G34" s="27">
        <f>IFERROR(Таблица5[[#This Row],[Цена КП]]*Таблица5[[#This Row],[Кол-во]],"")</f>
        <v>0</v>
      </c>
      <c r="H34" s="42">
        <f>IFERROR(HLOOKUP(Таблица5[[#Headers],[Комментарии]],'WV 4.0'!$A:$N,ROW('WV 4.0'!23:23),0),"")</f>
        <v>0</v>
      </c>
      <c r="I34" s="42">
        <f>IFERROR(HLOOKUP(Таблица5[[#Headers],[Срок поставки]],'WV 4.0'!$A:$N,ROW('WV 4.0'!23:23),0),"")</f>
        <v>0</v>
      </c>
      <c r="J34" s="27" t="str">
        <f>IFERROR(HLOOKUP(Таблица5[[#Headers],[Цена КазНИИСА]],'WV 4.0'!$A:$N,ROW('WV 4.0'!23:23),0),"")</f>
        <v/>
      </c>
      <c r="K34" s="27" t="str">
        <f>IFERROR(HLOOKUP(Таблица5[[#Headers],[Сумма КазНИИСА]],'WV 4.0'!$A:$N,ROW('WV 4.0'!23:23),0),"")</f>
        <v/>
      </c>
      <c r="L34" s="27">
        <f>IFERROR(HLOOKUP(Таблица5[[#Headers],[Код КазНИИСА]],'WV 4.0'!$A:$N,ROW('WV 4.0'!23:23),0),"")</f>
        <v>0</v>
      </c>
      <c r="M34" s="27" t="str">
        <f>IFERROR(HLOOKUP(Таблица5[[#Headers],[РРЦ в тнг]],'WV 4.0'!$A:$N,ROW('WV 4.0'!23:23),0),"")</f>
        <v/>
      </c>
      <c r="N34" s="27" t="str">
        <f>IFERROR(HLOOKUP(Таблица5[[#Headers],[Сумма РРЦ]],'WV 4.0'!$A:$N,ROW('WV 4.0'!23:23),0),"")</f>
        <v/>
      </c>
    </row>
    <row r="35" spans="1:14" x14ac:dyDescent="0.25">
      <c r="A35" s="29">
        <f>IFERROR('WV 4.0'!A24, " ")</f>
        <v>0</v>
      </c>
      <c r="B35" s="29">
        <f>IFERROR('WV 4.0'!B24, " ")</f>
        <v>0</v>
      </c>
      <c r="C35" s="29">
        <f>IFERROR('WV 4.0'!C24, " ")</f>
        <v>0</v>
      </c>
      <c r="D35" s="29">
        <f>IFERROR('WV 4.0'!D24, " ")</f>
        <v>0</v>
      </c>
      <c r="E35" s="29">
        <f>IFERROR('WV 4.0'!E24, " ")</f>
        <v>0</v>
      </c>
      <c r="F35" s="27">
        <f>IFERROR(ROUND(HLOOKUP(Таблица5[[#Headers],[Цена КП]],'WV 4.0'!$A:$N,ROW('WV 4.0'!24:24),0),0),"")</f>
        <v>0</v>
      </c>
      <c r="G35" s="27">
        <f>IFERROR(Таблица5[[#This Row],[Цена КП]]*Таблица5[[#This Row],[Кол-во]],"")</f>
        <v>0</v>
      </c>
      <c r="H35" s="42">
        <f>IFERROR(HLOOKUP(Таблица5[[#Headers],[Комментарии]],'WV 4.0'!$A:$N,ROW('WV 4.0'!24:24),0),"")</f>
        <v>0</v>
      </c>
      <c r="I35" s="42">
        <f>IFERROR(HLOOKUP(Таблица5[[#Headers],[Срок поставки]],'WV 4.0'!$A:$N,ROW('WV 4.0'!24:24),0),"")</f>
        <v>0</v>
      </c>
      <c r="J35" s="27" t="str">
        <f>IFERROR(HLOOKUP(Таблица5[[#Headers],[Цена КазНИИСА]],'WV 4.0'!$A:$N,ROW('WV 4.0'!24:24),0),"")</f>
        <v/>
      </c>
      <c r="K35" s="27" t="str">
        <f>IFERROR(HLOOKUP(Таблица5[[#Headers],[Сумма КазНИИСА]],'WV 4.0'!$A:$N,ROW('WV 4.0'!24:24),0),"")</f>
        <v/>
      </c>
      <c r="L35" s="27">
        <f>IFERROR(HLOOKUP(Таблица5[[#Headers],[Код КазНИИСА]],'WV 4.0'!$A:$N,ROW('WV 4.0'!24:24),0),"")</f>
        <v>0</v>
      </c>
      <c r="M35" s="27" t="str">
        <f>IFERROR(HLOOKUP(Таблица5[[#Headers],[РРЦ в тнг]],'WV 4.0'!$A:$N,ROW('WV 4.0'!24:24),0),"")</f>
        <v/>
      </c>
      <c r="N35" s="27" t="str">
        <f>IFERROR(HLOOKUP(Таблица5[[#Headers],[Сумма РРЦ]],'WV 4.0'!$A:$N,ROW('WV 4.0'!24:24),0),"")</f>
        <v/>
      </c>
    </row>
    <row r="36" spans="1:14" x14ac:dyDescent="0.25">
      <c r="A36" s="29">
        <f>IFERROR('WV 4.0'!A25, " ")</f>
        <v>0</v>
      </c>
      <c r="B36" s="29">
        <f>IFERROR('WV 4.0'!B25, " ")</f>
        <v>0</v>
      </c>
      <c r="C36" s="29">
        <f>IFERROR('WV 4.0'!C25, " ")</f>
        <v>0</v>
      </c>
      <c r="D36" s="29">
        <f>IFERROR('WV 4.0'!D25, " ")</f>
        <v>0</v>
      </c>
      <c r="E36" s="29">
        <f>IFERROR('WV 4.0'!E25, " ")</f>
        <v>0</v>
      </c>
      <c r="F36" s="27">
        <f>IFERROR(ROUND(HLOOKUP(Таблица5[[#Headers],[Цена КП]],'WV 4.0'!$A:$N,ROW('WV 4.0'!25:25),0),0),"")</f>
        <v>0</v>
      </c>
      <c r="G36" s="27">
        <f>IFERROR(Таблица5[[#This Row],[Цена КП]]*Таблица5[[#This Row],[Кол-во]],"")</f>
        <v>0</v>
      </c>
      <c r="H36" s="42">
        <f>IFERROR(HLOOKUP(Таблица5[[#Headers],[Комментарии]],'WV 4.0'!$A:$N,ROW('WV 4.0'!25:25),0),"")</f>
        <v>0</v>
      </c>
      <c r="I36" s="42">
        <f>IFERROR(HLOOKUP(Таблица5[[#Headers],[Срок поставки]],'WV 4.0'!$A:$N,ROW('WV 4.0'!25:25),0),"")</f>
        <v>0</v>
      </c>
      <c r="J36" s="27" t="str">
        <f>IFERROR(HLOOKUP(Таблица5[[#Headers],[Цена КазНИИСА]],'WV 4.0'!$A:$N,ROW('WV 4.0'!25:25),0),"")</f>
        <v/>
      </c>
      <c r="K36" s="27" t="str">
        <f>IFERROR(HLOOKUP(Таблица5[[#Headers],[Сумма КазНИИСА]],'WV 4.0'!$A:$N,ROW('WV 4.0'!25:25),0),"")</f>
        <v/>
      </c>
      <c r="L36" s="27">
        <f>IFERROR(HLOOKUP(Таблица5[[#Headers],[Код КазНИИСА]],'WV 4.0'!$A:$N,ROW('WV 4.0'!25:25),0),"")</f>
        <v>0</v>
      </c>
      <c r="M36" s="27" t="str">
        <f>IFERROR(HLOOKUP(Таблица5[[#Headers],[РРЦ в тнг]],'WV 4.0'!$A:$N,ROW('WV 4.0'!25:25),0),"")</f>
        <v/>
      </c>
      <c r="N36" s="27" t="str">
        <f>IFERROR(HLOOKUP(Таблица5[[#Headers],[Сумма РРЦ]],'WV 4.0'!$A:$N,ROW('WV 4.0'!25:25),0),"")</f>
        <v/>
      </c>
    </row>
    <row r="37" spans="1:14" x14ac:dyDescent="0.25">
      <c r="A37" s="29">
        <f>IFERROR('WV 4.0'!A26, " ")</f>
        <v>0</v>
      </c>
      <c r="B37" s="29">
        <f>IFERROR('WV 4.0'!B26, " ")</f>
        <v>0</v>
      </c>
      <c r="C37" s="29">
        <f>IFERROR('WV 4.0'!C26, " ")</f>
        <v>0</v>
      </c>
      <c r="D37" s="29">
        <f>IFERROR('WV 4.0'!D26, " ")</f>
        <v>0</v>
      </c>
      <c r="E37" s="29">
        <f>IFERROR('WV 4.0'!E26, " ")</f>
        <v>0</v>
      </c>
      <c r="F37" s="27">
        <f>IFERROR(ROUND(HLOOKUP(Таблица5[[#Headers],[Цена КП]],'WV 4.0'!$A:$N,ROW('WV 4.0'!26:26),0),0),"")</f>
        <v>0</v>
      </c>
      <c r="G37" s="27">
        <f>IFERROR(Таблица5[[#This Row],[Цена КП]]*Таблица5[[#This Row],[Кол-во]],"")</f>
        <v>0</v>
      </c>
      <c r="H37" s="42">
        <f>IFERROR(HLOOKUP(Таблица5[[#Headers],[Комментарии]],'WV 4.0'!$A:$N,ROW('WV 4.0'!26:26),0),"")</f>
        <v>0</v>
      </c>
      <c r="I37" s="42">
        <f>IFERROR(HLOOKUP(Таблица5[[#Headers],[Срок поставки]],'WV 4.0'!$A:$N,ROW('WV 4.0'!26:26),0),"")</f>
        <v>0</v>
      </c>
      <c r="J37" s="27" t="str">
        <f>IFERROR(HLOOKUP(Таблица5[[#Headers],[Цена КазНИИСА]],'WV 4.0'!$A:$N,ROW('WV 4.0'!26:26),0),"")</f>
        <v/>
      </c>
      <c r="K37" s="27" t="str">
        <f>IFERROR(HLOOKUP(Таблица5[[#Headers],[Сумма КазНИИСА]],'WV 4.0'!$A:$N,ROW('WV 4.0'!26:26),0),"")</f>
        <v/>
      </c>
      <c r="L37" s="27">
        <f>IFERROR(HLOOKUP(Таблица5[[#Headers],[Код КазНИИСА]],'WV 4.0'!$A:$N,ROW('WV 4.0'!26:26),0),"")</f>
        <v>0</v>
      </c>
      <c r="M37" s="27" t="str">
        <f>IFERROR(HLOOKUP(Таблица5[[#Headers],[РРЦ в тнг]],'WV 4.0'!$A:$N,ROW('WV 4.0'!26:26),0),"")</f>
        <v/>
      </c>
      <c r="N37" s="27" t="str">
        <f>IFERROR(HLOOKUP(Таблица5[[#Headers],[Сумма РРЦ]],'WV 4.0'!$A:$N,ROW('WV 4.0'!26:26),0),"")</f>
        <v/>
      </c>
    </row>
    <row r="38" spans="1:14" x14ac:dyDescent="0.25">
      <c r="A38" s="29">
        <f>IFERROR('WV 4.0'!A27, " ")</f>
        <v>0</v>
      </c>
      <c r="B38" s="29">
        <f>IFERROR('WV 4.0'!B27, " ")</f>
        <v>0</v>
      </c>
      <c r="C38" s="29">
        <f>IFERROR('WV 4.0'!C27, " ")</f>
        <v>0</v>
      </c>
      <c r="D38" s="29">
        <f>IFERROR('WV 4.0'!D27, " ")</f>
        <v>0</v>
      </c>
      <c r="E38" s="29">
        <f>IFERROR('WV 4.0'!E27, " ")</f>
        <v>0</v>
      </c>
      <c r="F38" s="27">
        <f>IFERROR(ROUND(HLOOKUP(Таблица5[[#Headers],[Цена КП]],'WV 4.0'!$A:$N,ROW('WV 4.0'!27:27),0),0),"")</f>
        <v>0</v>
      </c>
      <c r="G38" s="27">
        <f>IFERROR(Таблица5[[#This Row],[Цена КП]]*Таблица5[[#This Row],[Кол-во]],"")</f>
        <v>0</v>
      </c>
      <c r="H38" s="42">
        <f>IFERROR(HLOOKUP(Таблица5[[#Headers],[Комментарии]],'WV 4.0'!$A:$N,ROW('WV 4.0'!27:27),0),"")</f>
        <v>0</v>
      </c>
      <c r="I38" s="42">
        <f>IFERROR(HLOOKUP(Таблица5[[#Headers],[Срок поставки]],'WV 4.0'!$A:$N,ROW('WV 4.0'!27:27),0),"")</f>
        <v>0</v>
      </c>
      <c r="J38" s="27" t="str">
        <f>IFERROR(HLOOKUP(Таблица5[[#Headers],[Цена КазНИИСА]],'WV 4.0'!$A:$N,ROW('WV 4.0'!27:27),0),"")</f>
        <v/>
      </c>
      <c r="K38" s="27" t="str">
        <f>IFERROR(HLOOKUP(Таблица5[[#Headers],[Сумма КазНИИСА]],'WV 4.0'!$A:$N,ROW('WV 4.0'!27:27),0),"")</f>
        <v/>
      </c>
      <c r="L38" s="27">
        <f>IFERROR(HLOOKUP(Таблица5[[#Headers],[Код КазНИИСА]],'WV 4.0'!$A:$N,ROW('WV 4.0'!27:27),0),"")</f>
        <v>0</v>
      </c>
      <c r="M38" s="27" t="str">
        <f>IFERROR(HLOOKUP(Таблица5[[#Headers],[РРЦ в тнг]],'WV 4.0'!$A:$N,ROW('WV 4.0'!27:27),0),"")</f>
        <v/>
      </c>
      <c r="N38" s="27" t="str">
        <f>IFERROR(HLOOKUP(Таблица5[[#Headers],[Сумма РРЦ]],'WV 4.0'!$A:$N,ROW('WV 4.0'!27:27),0),"")</f>
        <v/>
      </c>
    </row>
    <row r="39" spans="1:14" x14ac:dyDescent="0.25">
      <c r="A39" s="29">
        <f>IFERROR('WV 4.0'!A28, " ")</f>
        <v>0</v>
      </c>
      <c r="B39" s="29">
        <f>IFERROR('WV 4.0'!B28, " ")</f>
        <v>0</v>
      </c>
      <c r="C39" s="29">
        <f>IFERROR('WV 4.0'!C28, " ")</f>
        <v>0</v>
      </c>
      <c r="D39" s="29">
        <f>IFERROR('WV 4.0'!D28, " ")</f>
        <v>0</v>
      </c>
      <c r="E39" s="29">
        <f>IFERROR('WV 4.0'!E28, " ")</f>
        <v>0</v>
      </c>
      <c r="F39" s="27">
        <f>IFERROR(ROUND(HLOOKUP(Таблица5[[#Headers],[Цена КП]],'WV 4.0'!$A:$N,ROW('WV 4.0'!28:28),0),0),"")</f>
        <v>0</v>
      </c>
      <c r="G39" s="27">
        <f>IFERROR(Таблица5[[#This Row],[Цена КП]]*Таблица5[[#This Row],[Кол-во]],"")</f>
        <v>0</v>
      </c>
      <c r="H39" s="42">
        <f>IFERROR(HLOOKUP(Таблица5[[#Headers],[Комментарии]],'WV 4.0'!$A:$N,ROW('WV 4.0'!28:28),0),"")</f>
        <v>0</v>
      </c>
      <c r="I39" s="42">
        <f>IFERROR(HLOOKUP(Таблица5[[#Headers],[Срок поставки]],'WV 4.0'!$A:$N,ROW('WV 4.0'!28:28),0),"")</f>
        <v>0</v>
      </c>
      <c r="J39" s="27" t="str">
        <f>IFERROR(HLOOKUP(Таблица5[[#Headers],[Цена КазНИИСА]],'WV 4.0'!$A:$N,ROW('WV 4.0'!28:28),0),"")</f>
        <v/>
      </c>
      <c r="K39" s="27" t="str">
        <f>IFERROR(HLOOKUP(Таблица5[[#Headers],[Сумма КазНИИСА]],'WV 4.0'!$A:$N,ROW('WV 4.0'!28:28),0),"")</f>
        <v/>
      </c>
      <c r="L39" s="27">
        <f>IFERROR(HLOOKUP(Таблица5[[#Headers],[Код КазНИИСА]],'WV 4.0'!$A:$N,ROW('WV 4.0'!28:28),0),"")</f>
        <v>0</v>
      </c>
      <c r="M39" s="27" t="str">
        <f>IFERROR(HLOOKUP(Таблица5[[#Headers],[РРЦ в тнг]],'WV 4.0'!$A:$N,ROW('WV 4.0'!28:28),0),"")</f>
        <v/>
      </c>
      <c r="N39" s="27" t="str">
        <f>IFERROR(HLOOKUP(Таблица5[[#Headers],[Сумма РРЦ]],'WV 4.0'!$A:$N,ROW('WV 4.0'!28:28),0),"")</f>
        <v/>
      </c>
    </row>
    <row r="40" spans="1:14" x14ac:dyDescent="0.25">
      <c r="A40" s="29">
        <f>IFERROR('WV 4.0'!A29, " ")</f>
        <v>0</v>
      </c>
      <c r="B40" s="29">
        <f>IFERROR('WV 4.0'!B29, " ")</f>
        <v>0</v>
      </c>
      <c r="C40" s="29">
        <f>IFERROR('WV 4.0'!C29, " ")</f>
        <v>0</v>
      </c>
      <c r="D40" s="29">
        <f>IFERROR('WV 4.0'!D29, " ")</f>
        <v>0</v>
      </c>
      <c r="E40" s="29">
        <f>IFERROR('WV 4.0'!E29, " ")</f>
        <v>0</v>
      </c>
      <c r="F40" s="27">
        <f>IFERROR(ROUND(HLOOKUP(Таблица5[[#Headers],[Цена КП]],'WV 4.0'!$A:$N,ROW('WV 4.0'!29:29),0),0),"")</f>
        <v>0</v>
      </c>
      <c r="G40" s="27">
        <f>IFERROR(Таблица5[[#This Row],[Цена КП]]*Таблица5[[#This Row],[Кол-во]],"")</f>
        <v>0</v>
      </c>
      <c r="H40" s="42">
        <f>IFERROR(HLOOKUP(Таблица5[[#Headers],[Комментарии]],'WV 4.0'!$A:$N,ROW('WV 4.0'!29:29),0),"")</f>
        <v>0</v>
      </c>
      <c r="I40" s="42">
        <f>IFERROR(HLOOKUP(Таблица5[[#Headers],[Срок поставки]],'WV 4.0'!$A:$N,ROW('WV 4.0'!29:29),0),"")</f>
        <v>0</v>
      </c>
      <c r="J40" s="27" t="str">
        <f>IFERROR(HLOOKUP(Таблица5[[#Headers],[Цена КазНИИСА]],'WV 4.0'!$A:$N,ROW('WV 4.0'!29:29),0),"")</f>
        <v/>
      </c>
      <c r="K40" s="27" t="str">
        <f>IFERROR(HLOOKUP(Таблица5[[#Headers],[Сумма КазНИИСА]],'WV 4.0'!$A:$N,ROW('WV 4.0'!29:29),0),"")</f>
        <v/>
      </c>
      <c r="L40" s="27">
        <f>IFERROR(HLOOKUP(Таблица5[[#Headers],[Код КазНИИСА]],'WV 4.0'!$A:$N,ROW('WV 4.0'!29:29),0),"")</f>
        <v>0</v>
      </c>
      <c r="M40" s="27" t="str">
        <f>IFERROR(HLOOKUP(Таблица5[[#Headers],[РРЦ в тнг]],'WV 4.0'!$A:$N,ROW('WV 4.0'!29:29),0),"")</f>
        <v/>
      </c>
      <c r="N40" s="27" t="str">
        <f>IFERROR(HLOOKUP(Таблица5[[#Headers],[Сумма РРЦ]],'WV 4.0'!$A:$N,ROW('WV 4.0'!29:29),0),"")</f>
        <v/>
      </c>
    </row>
    <row r="41" spans="1:14" x14ac:dyDescent="0.25">
      <c r="A41" s="29">
        <f>IFERROR('WV 4.0'!A30, " ")</f>
        <v>0</v>
      </c>
      <c r="B41" s="29">
        <f>IFERROR('WV 4.0'!B30, " ")</f>
        <v>0</v>
      </c>
      <c r="C41" s="29">
        <f>IFERROR('WV 4.0'!C30, " ")</f>
        <v>0</v>
      </c>
      <c r="D41" s="29">
        <f>IFERROR('WV 4.0'!D30, " ")</f>
        <v>0</v>
      </c>
      <c r="E41" s="29">
        <f>IFERROR('WV 4.0'!E30, " ")</f>
        <v>0</v>
      </c>
      <c r="F41" s="27">
        <f>IFERROR(ROUND(HLOOKUP(Таблица5[[#Headers],[Цена КП]],'WV 4.0'!$A:$N,ROW('WV 4.0'!30:30),0),0),"")</f>
        <v>0</v>
      </c>
      <c r="G41" s="27">
        <f>IFERROR(Таблица5[[#This Row],[Цена КП]]*Таблица5[[#This Row],[Кол-во]],"")</f>
        <v>0</v>
      </c>
      <c r="H41" s="42">
        <f>IFERROR(HLOOKUP(Таблица5[[#Headers],[Комментарии]],'WV 4.0'!$A:$N,ROW('WV 4.0'!30:30),0),"")</f>
        <v>0</v>
      </c>
      <c r="I41" s="42">
        <f>IFERROR(HLOOKUP(Таблица5[[#Headers],[Срок поставки]],'WV 4.0'!$A:$N,ROW('WV 4.0'!30:30),0),"")</f>
        <v>0</v>
      </c>
      <c r="J41" s="27" t="str">
        <f>IFERROR(HLOOKUP(Таблица5[[#Headers],[Цена КазНИИСА]],'WV 4.0'!$A:$N,ROW('WV 4.0'!30:30),0),"")</f>
        <v/>
      </c>
      <c r="K41" s="27" t="str">
        <f>IFERROR(HLOOKUP(Таблица5[[#Headers],[Сумма КазНИИСА]],'WV 4.0'!$A:$N,ROW('WV 4.0'!30:30),0),"")</f>
        <v/>
      </c>
      <c r="L41" s="27">
        <f>IFERROR(HLOOKUP(Таблица5[[#Headers],[Код КазНИИСА]],'WV 4.0'!$A:$N,ROW('WV 4.0'!30:30),0),"")</f>
        <v>0</v>
      </c>
      <c r="M41" s="27" t="str">
        <f>IFERROR(HLOOKUP(Таблица5[[#Headers],[РРЦ в тнг]],'WV 4.0'!$A:$N,ROW('WV 4.0'!30:30),0),"")</f>
        <v/>
      </c>
      <c r="N41" s="27" t="str">
        <f>IFERROR(HLOOKUP(Таблица5[[#Headers],[Сумма РРЦ]],'WV 4.0'!$A:$N,ROW('WV 4.0'!30:30),0),"")</f>
        <v/>
      </c>
    </row>
    <row r="42" spans="1:14" x14ac:dyDescent="0.25">
      <c r="A42" s="29">
        <f>IFERROR('WV 4.0'!A31, " ")</f>
        <v>0</v>
      </c>
      <c r="B42" s="29">
        <f>IFERROR('WV 4.0'!B31, " ")</f>
        <v>0</v>
      </c>
      <c r="C42" s="29">
        <f>IFERROR('WV 4.0'!C31, " ")</f>
        <v>0</v>
      </c>
      <c r="D42" s="29">
        <f>IFERROR('WV 4.0'!D31, " ")</f>
        <v>0</v>
      </c>
      <c r="E42" s="29">
        <f>IFERROR('WV 4.0'!E31, " ")</f>
        <v>0</v>
      </c>
      <c r="F42" s="27">
        <f>IFERROR(ROUND(HLOOKUP(Таблица5[[#Headers],[Цена КП]],'WV 4.0'!$A:$N,ROW('WV 4.0'!31:31),0),0),"")</f>
        <v>0</v>
      </c>
      <c r="G42" s="27">
        <f>IFERROR(Таблица5[[#This Row],[Цена КП]]*Таблица5[[#This Row],[Кол-во]],"")</f>
        <v>0</v>
      </c>
      <c r="H42" s="42">
        <f>IFERROR(HLOOKUP(Таблица5[[#Headers],[Комментарии]],'WV 4.0'!$A:$N,ROW('WV 4.0'!31:31),0),"")</f>
        <v>0</v>
      </c>
      <c r="I42" s="42">
        <f>IFERROR(HLOOKUP(Таблица5[[#Headers],[Срок поставки]],'WV 4.0'!$A:$N,ROW('WV 4.0'!31:31),0),"")</f>
        <v>0</v>
      </c>
      <c r="J42" s="27" t="str">
        <f>IFERROR(HLOOKUP(Таблица5[[#Headers],[Цена КазНИИСА]],'WV 4.0'!$A:$N,ROW('WV 4.0'!31:31),0),"")</f>
        <v/>
      </c>
      <c r="K42" s="27" t="str">
        <f>IFERROR(HLOOKUP(Таблица5[[#Headers],[Сумма КазНИИСА]],'WV 4.0'!$A:$N,ROW('WV 4.0'!31:31),0),"")</f>
        <v/>
      </c>
      <c r="L42" s="27">
        <f>IFERROR(HLOOKUP(Таблица5[[#Headers],[Код КазНИИСА]],'WV 4.0'!$A:$N,ROW('WV 4.0'!31:31),0),"")</f>
        <v>0</v>
      </c>
      <c r="M42" s="27" t="str">
        <f>IFERROR(HLOOKUP(Таблица5[[#Headers],[РРЦ в тнг]],'WV 4.0'!$A:$N,ROW('WV 4.0'!31:31),0),"")</f>
        <v/>
      </c>
      <c r="N42" s="27" t="str">
        <f>IFERROR(HLOOKUP(Таблица5[[#Headers],[Сумма РРЦ]],'WV 4.0'!$A:$N,ROW('WV 4.0'!31:31),0),"")</f>
        <v/>
      </c>
    </row>
    <row r="43" spans="1:14" x14ac:dyDescent="0.25">
      <c r="A43" s="29">
        <f>IFERROR('WV 4.0'!A32, " ")</f>
        <v>0</v>
      </c>
      <c r="B43" s="29">
        <f>IFERROR('WV 4.0'!B32, " ")</f>
        <v>0</v>
      </c>
      <c r="C43" s="29">
        <f>IFERROR('WV 4.0'!C32, " ")</f>
        <v>0</v>
      </c>
      <c r="D43" s="29">
        <f>IFERROR('WV 4.0'!D32, " ")</f>
        <v>0</v>
      </c>
      <c r="E43" s="29">
        <f>IFERROR('WV 4.0'!E32, " ")</f>
        <v>0</v>
      </c>
      <c r="F43" s="27">
        <f>IFERROR(ROUND(HLOOKUP(Таблица5[[#Headers],[Цена КП]],'WV 4.0'!$A:$N,ROW('WV 4.0'!32:32),0),0),"")</f>
        <v>0</v>
      </c>
      <c r="G43" s="27">
        <f>IFERROR(Таблица5[[#This Row],[Цена КП]]*Таблица5[[#This Row],[Кол-во]],"")</f>
        <v>0</v>
      </c>
      <c r="H43" s="42">
        <f>IFERROR(HLOOKUP(Таблица5[[#Headers],[Комментарии]],'WV 4.0'!$A:$N,ROW('WV 4.0'!32:32),0),"")</f>
        <v>0</v>
      </c>
      <c r="I43" s="42">
        <f>IFERROR(HLOOKUP(Таблица5[[#Headers],[Срок поставки]],'WV 4.0'!$A:$N,ROW('WV 4.0'!32:32),0),"")</f>
        <v>0</v>
      </c>
      <c r="J43" s="27" t="str">
        <f>IFERROR(HLOOKUP(Таблица5[[#Headers],[Цена КазНИИСА]],'WV 4.0'!$A:$N,ROW('WV 4.0'!32:32),0),"")</f>
        <v/>
      </c>
      <c r="K43" s="27" t="str">
        <f>IFERROR(HLOOKUP(Таблица5[[#Headers],[Сумма КазНИИСА]],'WV 4.0'!$A:$N,ROW('WV 4.0'!32:32),0),"")</f>
        <v/>
      </c>
      <c r="L43" s="27">
        <f>IFERROR(HLOOKUP(Таблица5[[#Headers],[Код КазНИИСА]],'WV 4.0'!$A:$N,ROW('WV 4.0'!32:32),0),"")</f>
        <v>0</v>
      </c>
      <c r="M43" s="27" t="str">
        <f>IFERROR(HLOOKUP(Таблица5[[#Headers],[РРЦ в тнг]],'WV 4.0'!$A:$N,ROW('WV 4.0'!32:32),0),"")</f>
        <v/>
      </c>
      <c r="N43" s="27" t="str">
        <f>IFERROR(HLOOKUP(Таблица5[[#Headers],[Сумма РРЦ]],'WV 4.0'!$A:$N,ROW('WV 4.0'!32:32),0),"")</f>
        <v/>
      </c>
    </row>
    <row r="44" spans="1:14" x14ac:dyDescent="0.25">
      <c r="A44" s="29">
        <f>IFERROR('WV 4.0'!A33, " ")</f>
        <v>0</v>
      </c>
      <c r="B44" s="29">
        <f>IFERROR('WV 4.0'!B33, " ")</f>
        <v>0</v>
      </c>
      <c r="C44" s="29">
        <f>IFERROR('WV 4.0'!C33, " ")</f>
        <v>0</v>
      </c>
      <c r="D44" s="29">
        <f>IFERROR('WV 4.0'!D33, " ")</f>
        <v>0</v>
      </c>
      <c r="E44" s="29">
        <f>IFERROR('WV 4.0'!E33, " ")</f>
        <v>0</v>
      </c>
      <c r="F44" s="27">
        <f>IFERROR(ROUND(HLOOKUP(Таблица5[[#Headers],[Цена КП]],'WV 4.0'!$A:$N,ROW('WV 4.0'!33:33),0),0),"")</f>
        <v>0</v>
      </c>
      <c r="G44" s="27">
        <f>IFERROR(Таблица5[[#This Row],[Цена КП]]*Таблица5[[#This Row],[Кол-во]],"")</f>
        <v>0</v>
      </c>
      <c r="H44" s="42">
        <f>IFERROR(HLOOKUP(Таблица5[[#Headers],[Комментарии]],'WV 4.0'!$A:$N,ROW('WV 4.0'!33:33),0),"")</f>
        <v>0</v>
      </c>
      <c r="I44" s="42">
        <f>IFERROR(HLOOKUP(Таблица5[[#Headers],[Срок поставки]],'WV 4.0'!$A:$N,ROW('WV 4.0'!33:33),0),"")</f>
        <v>0</v>
      </c>
      <c r="J44" s="27" t="str">
        <f>IFERROR(HLOOKUP(Таблица5[[#Headers],[Цена КазНИИСА]],'WV 4.0'!$A:$N,ROW('WV 4.0'!33:33),0),"")</f>
        <v/>
      </c>
      <c r="K44" s="27" t="str">
        <f>IFERROR(HLOOKUP(Таблица5[[#Headers],[Сумма КазНИИСА]],'WV 4.0'!$A:$N,ROW('WV 4.0'!33:33),0),"")</f>
        <v/>
      </c>
      <c r="L44" s="27">
        <f>IFERROR(HLOOKUP(Таблица5[[#Headers],[Код КазНИИСА]],'WV 4.0'!$A:$N,ROW('WV 4.0'!33:33),0),"")</f>
        <v>0</v>
      </c>
      <c r="M44" s="27" t="str">
        <f>IFERROR(HLOOKUP(Таблица5[[#Headers],[РРЦ в тнг]],'WV 4.0'!$A:$N,ROW('WV 4.0'!33:33),0),"")</f>
        <v/>
      </c>
      <c r="N44" s="27" t="str">
        <f>IFERROR(HLOOKUP(Таблица5[[#Headers],[Сумма РРЦ]],'WV 4.0'!$A:$N,ROW('WV 4.0'!33:33),0),"")</f>
        <v/>
      </c>
    </row>
    <row r="45" spans="1:14" x14ac:dyDescent="0.25">
      <c r="A45" s="29">
        <f>IFERROR('WV 4.0'!A34, " ")</f>
        <v>0</v>
      </c>
      <c r="B45" s="29">
        <f>IFERROR('WV 4.0'!B34, " ")</f>
        <v>0</v>
      </c>
      <c r="C45" s="29">
        <f>IFERROR('WV 4.0'!C34, " ")</f>
        <v>0</v>
      </c>
      <c r="D45" s="29">
        <f>IFERROR('WV 4.0'!D34, " ")</f>
        <v>0</v>
      </c>
      <c r="E45" s="29">
        <f>IFERROR('WV 4.0'!E34, " ")</f>
        <v>0</v>
      </c>
      <c r="F45" s="27">
        <f>IFERROR(ROUND(HLOOKUP(Таблица5[[#Headers],[Цена КП]],'WV 4.0'!$A:$N,ROW('WV 4.0'!34:34),0),0),"")</f>
        <v>0</v>
      </c>
      <c r="G45" s="27">
        <f>IFERROR(Таблица5[[#This Row],[Цена КП]]*Таблица5[[#This Row],[Кол-во]],"")</f>
        <v>0</v>
      </c>
      <c r="H45" s="42">
        <f>IFERROR(HLOOKUP(Таблица5[[#Headers],[Комментарии]],'WV 4.0'!$A:$N,ROW('WV 4.0'!34:34),0),"")</f>
        <v>0</v>
      </c>
      <c r="I45" s="42">
        <f>IFERROR(HLOOKUP(Таблица5[[#Headers],[Срок поставки]],'WV 4.0'!$A:$N,ROW('WV 4.0'!34:34),0),"")</f>
        <v>0</v>
      </c>
      <c r="J45" s="27" t="str">
        <f>IFERROR(HLOOKUP(Таблица5[[#Headers],[Цена КазНИИСА]],'WV 4.0'!$A:$N,ROW('WV 4.0'!34:34),0),"")</f>
        <v/>
      </c>
      <c r="K45" s="27" t="str">
        <f>IFERROR(HLOOKUP(Таблица5[[#Headers],[Сумма КазНИИСА]],'WV 4.0'!$A:$N,ROW('WV 4.0'!34:34),0),"")</f>
        <v/>
      </c>
      <c r="L45" s="27">
        <f>IFERROR(HLOOKUP(Таблица5[[#Headers],[Код КазНИИСА]],'WV 4.0'!$A:$N,ROW('WV 4.0'!34:34),0),"")</f>
        <v>0</v>
      </c>
      <c r="M45" s="27" t="str">
        <f>IFERROR(HLOOKUP(Таблица5[[#Headers],[РРЦ в тнг]],'WV 4.0'!$A:$N,ROW('WV 4.0'!34:34),0),"")</f>
        <v/>
      </c>
      <c r="N45" s="27" t="str">
        <f>IFERROR(HLOOKUP(Таблица5[[#Headers],[Сумма РРЦ]],'WV 4.0'!$A:$N,ROW('WV 4.0'!34:34),0),"")</f>
        <v/>
      </c>
    </row>
    <row r="46" spans="1:14" x14ac:dyDescent="0.25">
      <c r="A46" s="29">
        <f>IFERROR('WV 4.0'!A35, " ")</f>
        <v>0</v>
      </c>
      <c r="B46" s="29">
        <f>IFERROR('WV 4.0'!B35, " ")</f>
        <v>0</v>
      </c>
      <c r="C46" s="29">
        <f>IFERROR('WV 4.0'!C35, " ")</f>
        <v>0</v>
      </c>
      <c r="D46" s="29">
        <f>IFERROR('WV 4.0'!D35, " ")</f>
        <v>0</v>
      </c>
      <c r="E46" s="29">
        <f>IFERROR('WV 4.0'!E35, " ")</f>
        <v>0</v>
      </c>
      <c r="F46" s="27">
        <f>IFERROR(ROUND(HLOOKUP(Таблица5[[#Headers],[Цена КП]],'WV 4.0'!$A:$N,ROW('WV 4.0'!35:35),0),0),"")</f>
        <v>0</v>
      </c>
      <c r="G46" s="27">
        <f>IFERROR(Таблица5[[#This Row],[Цена КП]]*Таблица5[[#This Row],[Кол-во]],"")</f>
        <v>0</v>
      </c>
      <c r="H46" s="42">
        <f>IFERROR(HLOOKUP(Таблица5[[#Headers],[Комментарии]],'WV 4.0'!$A:$N,ROW('WV 4.0'!35:35),0),"")</f>
        <v>0</v>
      </c>
      <c r="I46" s="42">
        <f>IFERROR(HLOOKUP(Таблица5[[#Headers],[Срок поставки]],'WV 4.0'!$A:$N,ROW('WV 4.0'!35:35),0),"")</f>
        <v>0</v>
      </c>
      <c r="J46" s="27" t="str">
        <f>IFERROR(HLOOKUP(Таблица5[[#Headers],[Цена КазНИИСА]],'WV 4.0'!$A:$N,ROW('WV 4.0'!35:35),0),"")</f>
        <v/>
      </c>
      <c r="K46" s="27" t="str">
        <f>IFERROR(HLOOKUP(Таблица5[[#Headers],[Сумма КазНИИСА]],'WV 4.0'!$A:$N,ROW('WV 4.0'!35:35),0),"")</f>
        <v/>
      </c>
      <c r="L46" s="27">
        <f>IFERROR(HLOOKUP(Таблица5[[#Headers],[Код КазНИИСА]],'WV 4.0'!$A:$N,ROW('WV 4.0'!35:35),0),"")</f>
        <v>0</v>
      </c>
      <c r="M46" s="27" t="str">
        <f>IFERROR(HLOOKUP(Таблица5[[#Headers],[РРЦ в тнг]],'WV 4.0'!$A:$N,ROW('WV 4.0'!35:35),0),"")</f>
        <v/>
      </c>
      <c r="N46" s="27" t="str">
        <f>IFERROR(HLOOKUP(Таблица5[[#Headers],[Сумма РРЦ]],'WV 4.0'!$A:$N,ROW('WV 4.0'!35:35),0),"")</f>
        <v/>
      </c>
    </row>
    <row r="47" spans="1:14" x14ac:dyDescent="0.25">
      <c r="A47" s="29">
        <f>IFERROR('WV 4.0'!A36, " ")</f>
        <v>0</v>
      </c>
      <c r="B47" s="29">
        <f>IFERROR('WV 4.0'!B36, " ")</f>
        <v>0</v>
      </c>
      <c r="C47" s="29">
        <f>IFERROR('WV 4.0'!C36, " ")</f>
        <v>0</v>
      </c>
      <c r="D47" s="29">
        <f>IFERROR('WV 4.0'!D36, " ")</f>
        <v>0</v>
      </c>
      <c r="E47" s="29">
        <f>IFERROR('WV 4.0'!E36, " ")</f>
        <v>0</v>
      </c>
      <c r="F47" s="27">
        <f>IFERROR(ROUND(HLOOKUP(Таблица5[[#Headers],[Цена КП]],'WV 4.0'!$A:$N,ROW('WV 4.0'!36:36),0),0),"")</f>
        <v>0</v>
      </c>
      <c r="G47" s="27">
        <f>IFERROR(Таблица5[[#This Row],[Цена КП]]*Таблица5[[#This Row],[Кол-во]],"")</f>
        <v>0</v>
      </c>
      <c r="H47" s="42">
        <f>IFERROR(HLOOKUP(Таблица5[[#Headers],[Комментарии]],'WV 4.0'!$A:$N,ROW('WV 4.0'!36:36),0),"")</f>
        <v>0</v>
      </c>
      <c r="I47" s="42">
        <f>IFERROR(HLOOKUP(Таблица5[[#Headers],[Срок поставки]],'WV 4.0'!$A:$N,ROW('WV 4.0'!36:36),0),"")</f>
        <v>0</v>
      </c>
      <c r="J47" s="27" t="str">
        <f>IFERROR(HLOOKUP(Таблица5[[#Headers],[Цена КазНИИСА]],'WV 4.0'!$A:$N,ROW('WV 4.0'!36:36),0),"")</f>
        <v/>
      </c>
      <c r="K47" s="27" t="str">
        <f>IFERROR(HLOOKUP(Таблица5[[#Headers],[Сумма КазНИИСА]],'WV 4.0'!$A:$N,ROW('WV 4.0'!36:36),0),"")</f>
        <v/>
      </c>
      <c r="L47" s="27">
        <f>IFERROR(HLOOKUP(Таблица5[[#Headers],[Код КазНИИСА]],'WV 4.0'!$A:$N,ROW('WV 4.0'!36:36),0),"")</f>
        <v>0</v>
      </c>
      <c r="M47" s="27" t="str">
        <f>IFERROR(HLOOKUP(Таблица5[[#Headers],[РРЦ в тнг]],'WV 4.0'!$A:$N,ROW('WV 4.0'!36:36),0),"")</f>
        <v/>
      </c>
      <c r="N47" s="27" t="str">
        <f>IFERROR(HLOOKUP(Таблица5[[#Headers],[Сумма РРЦ]],'WV 4.0'!$A:$N,ROW('WV 4.0'!36:36),0),"")</f>
        <v/>
      </c>
    </row>
    <row r="48" spans="1:14" x14ac:dyDescent="0.25">
      <c r="A48" s="29">
        <f>IFERROR('WV 4.0'!A37, " ")</f>
        <v>0</v>
      </c>
      <c r="B48" s="29">
        <f>IFERROR('WV 4.0'!B37, " ")</f>
        <v>0</v>
      </c>
      <c r="C48" s="29">
        <f>IFERROR('WV 4.0'!C37, " ")</f>
        <v>0</v>
      </c>
      <c r="D48" s="29">
        <f>IFERROR('WV 4.0'!D37, " ")</f>
        <v>0</v>
      </c>
      <c r="E48" s="29">
        <f>IFERROR('WV 4.0'!E37, " ")</f>
        <v>0</v>
      </c>
      <c r="F48" s="27">
        <f>IFERROR(ROUND(HLOOKUP(Таблица5[[#Headers],[Цена КП]],'WV 4.0'!$A:$N,ROW('WV 4.0'!37:37),0),0),"")</f>
        <v>0</v>
      </c>
      <c r="G48" s="27">
        <f>IFERROR(Таблица5[[#This Row],[Цена КП]]*Таблица5[[#This Row],[Кол-во]],"")</f>
        <v>0</v>
      </c>
      <c r="H48" s="42">
        <f>IFERROR(HLOOKUP(Таблица5[[#Headers],[Комментарии]],'WV 4.0'!$A:$N,ROW('WV 4.0'!37:37),0),"")</f>
        <v>0</v>
      </c>
      <c r="I48" s="42">
        <f>IFERROR(HLOOKUP(Таблица5[[#Headers],[Срок поставки]],'WV 4.0'!$A:$N,ROW('WV 4.0'!37:37),0),"")</f>
        <v>0</v>
      </c>
      <c r="J48" s="27" t="str">
        <f>IFERROR(HLOOKUP(Таблица5[[#Headers],[Цена КазНИИСА]],'WV 4.0'!$A:$N,ROW('WV 4.0'!37:37),0),"")</f>
        <v/>
      </c>
      <c r="K48" s="27" t="str">
        <f>IFERROR(HLOOKUP(Таблица5[[#Headers],[Сумма КазНИИСА]],'WV 4.0'!$A:$N,ROW('WV 4.0'!37:37),0),"")</f>
        <v/>
      </c>
      <c r="L48" s="27">
        <f>IFERROR(HLOOKUP(Таблица5[[#Headers],[Код КазНИИСА]],'WV 4.0'!$A:$N,ROW('WV 4.0'!37:37),0),"")</f>
        <v>0</v>
      </c>
      <c r="M48" s="27" t="str">
        <f>IFERROR(HLOOKUP(Таблица5[[#Headers],[РРЦ в тнг]],'WV 4.0'!$A:$N,ROW('WV 4.0'!37:37),0),"")</f>
        <v/>
      </c>
      <c r="N48" s="27" t="str">
        <f>IFERROR(HLOOKUP(Таблица5[[#Headers],[Сумма РРЦ]],'WV 4.0'!$A:$N,ROW('WV 4.0'!37:37),0),"")</f>
        <v/>
      </c>
    </row>
    <row r="49" spans="1:14" x14ac:dyDescent="0.25">
      <c r="A49" s="29">
        <f>IFERROR('WV 4.0'!A38, " ")</f>
        <v>0</v>
      </c>
      <c r="B49" s="29">
        <f>IFERROR('WV 4.0'!B38, " ")</f>
        <v>0</v>
      </c>
      <c r="C49" s="29">
        <f>IFERROR('WV 4.0'!C38, " ")</f>
        <v>0</v>
      </c>
      <c r="D49" s="29">
        <f>IFERROR('WV 4.0'!D38, " ")</f>
        <v>0</v>
      </c>
      <c r="E49" s="29">
        <f>IFERROR('WV 4.0'!E38, " ")</f>
        <v>0</v>
      </c>
      <c r="F49" s="27">
        <f>IFERROR(ROUND(HLOOKUP(Таблица5[[#Headers],[Цена КП]],'WV 4.0'!$A:$N,ROW('WV 4.0'!38:38),0),0),"")</f>
        <v>0</v>
      </c>
      <c r="G49" s="27">
        <f>IFERROR(Таблица5[[#This Row],[Цена КП]]*Таблица5[[#This Row],[Кол-во]],"")</f>
        <v>0</v>
      </c>
      <c r="H49" s="42">
        <f>IFERROR(HLOOKUP(Таблица5[[#Headers],[Комментарии]],'WV 4.0'!$A:$N,ROW('WV 4.0'!38:38),0),"")</f>
        <v>0</v>
      </c>
      <c r="I49" s="42">
        <f>IFERROR(HLOOKUP(Таблица5[[#Headers],[Срок поставки]],'WV 4.0'!$A:$N,ROW('WV 4.0'!38:38),0),"")</f>
        <v>0</v>
      </c>
      <c r="J49" s="27" t="str">
        <f>IFERROR(HLOOKUP(Таблица5[[#Headers],[Цена КазНИИСА]],'WV 4.0'!$A:$N,ROW('WV 4.0'!38:38),0),"")</f>
        <v/>
      </c>
      <c r="K49" s="27" t="str">
        <f>IFERROR(HLOOKUP(Таблица5[[#Headers],[Сумма КазНИИСА]],'WV 4.0'!$A:$N,ROW('WV 4.0'!38:38),0),"")</f>
        <v/>
      </c>
      <c r="L49" s="27">
        <f>IFERROR(HLOOKUP(Таблица5[[#Headers],[Код КазНИИСА]],'WV 4.0'!$A:$N,ROW('WV 4.0'!38:38),0),"")</f>
        <v>0</v>
      </c>
      <c r="M49" s="27" t="str">
        <f>IFERROR(HLOOKUP(Таблица5[[#Headers],[РРЦ в тнг]],'WV 4.0'!$A:$N,ROW('WV 4.0'!38:38),0),"")</f>
        <v/>
      </c>
      <c r="N49" s="27" t="str">
        <f>IFERROR(HLOOKUP(Таблица5[[#Headers],[Сумма РРЦ]],'WV 4.0'!$A:$N,ROW('WV 4.0'!38:38),0),"")</f>
        <v/>
      </c>
    </row>
    <row r="50" spans="1:14" x14ac:dyDescent="0.25">
      <c r="A50" s="29">
        <f>IFERROR('WV 4.0'!A39, " ")</f>
        <v>0</v>
      </c>
      <c r="B50" s="29">
        <f>IFERROR('WV 4.0'!B39, " ")</f>
        <v>0</v>
      </c>
      <c r="C50" s="29">
        <f>IFERROR('WV 4.0'!C39, " ")</f>
        <v>0</v>
      </c>
      <c r="D50" s="29">
        <f>IFERROR('WV 4.0'!D39, " ")</f>
        <v>0</v>
      </c>
      <c r="E50" s="29">
        <f>IFERROR('WV 4.0'!E39, " ")</f>
        <v>0</v>
      </c>
      <c r="F50" s="27">
        <f>IFERROR(ROUND(HLOOKUP(Таблица5[[#Headers],[Цена КП]],'WV 4.0'!$A:$N,ROW('WV 4.0'!39:39),0),0),"")</f>
        <v>0</v>
      </c>
      <c r="G50" s="27">
        <f>IFERROR(Таблица5[[#This Row],[Цена КП]]*Таблица5[[#This Row],[Кол-во]],"")</f>
        <v>0</v>
      </c>
      <c r="H50" s="42">
        <f>IFERROR(HLOOKUP(Таблица5[[#Headers],[Комментарии]],'WV 4.0'!$A:$N,ROW('WV 4.0'!39:39),0),"")</f>
        <v>0</v>
      </c>
      <c r="I50" s="42">
        <f>IFERROR(HLOOKUP(Таблица5[[#Headers],[Срок поставки]],'WV 4.0'!$A:$N,ROW('WV 4.0'!39:39),0),"")</f>
        <v>0</v>
      </c>
      <c r="J50" s="27" t="str">
        <f>IFERROR(HLOOKUP(Таблица5[[#Headers],[Цена КазНИИСА]],'WV 4.0'!$A:$N,ROW('WV 4.0'!39:39),0),"")</f>
        <v/>
      </c>
      <c r="K50" s="27" t="str">
        <f>IFERROR(HLOOKUP(Таблица5[[#Headers],[Сумма КазНИИСА]],'WV 4.0'!$A:$N,ROW('WV 4.0'!39:39),0),"")</f>
        <v/>
      </c>
      <c r="L50" s="27">
        <f>IFERROR(HLOOKUP(Таблица5[[#Headers],[Код КазНИИСА]],'WV 4.0'!$A:$N,ROW('WV 4.0'!39:39),0),"")</f>
        <v>0</v>
      </c>
      <c r="M50" s="27" t="str">
        <f>IFERROR(HLOOKUP(Таблица5[[#Headers],[РРЦ в тнг]],'WV 4.0'!$A:$N,ROW('WV 4.0'!39:39),0),"")</f>
        <v/>
      </c>
      <c r="N50" s="27" t="str">
        <f>IFERROR(HLOOKUP(Таблица5[[#Headers],[Сумма РРЦ]],'WV 4.0'!$A:$N,ROW('WV 4.0'!39:39),0),"")</f>
        <v/>
      </c>
    </row>
    <row r="51" spans="1:14" x14ac:dyDescent="0.25">
      <c r="A51" s="29">
        <f>IFERROR('WV 4.0'!A40, " ")</f>
        <v>0</v>
      </c>
      <c r="B51" s="29">
        <f>IFERROR('WV 4.0'!B40, " ")</f>
        <v>0</v>
      </c>
      <c r="C51" s="29">
        <f>IFERROR('WV 4.0'!C40, " ")</f>
        <v>0</v>
      </c>
      <c r="D51" s="29">
        <f>IFERROR('WV 4.0'!D40, " ")</f>
        <v>0</v>
      </c>
      <c r="E51" s="29">
        <f>IFERROR('WV 4.0'!E40, " ")</f>
        <v>0</v>
      </c>
      <c r="F51" s="27">
        <f>IFERROR(ROUND(HLOOKUP(Таблица5[[#Headers],[Цена КП]],'WV 4.0'!$A:$N,ROW('WV 4.0'!40:40),0),0),"")</f>
        <v>0</v>
      </c>
      <c r="G51" s="27">
        <f>IFERROR(Таблица5[[#This Row],[Цена КП]]*Таблица5[[#This Row],[Кол-во]],"")</f>
        <v>0</v>
      </c>
      <c r="H51" s="42">
        <f>IFERROR(HLOOKUP(Таблица5[[#Headers],[Комментарии]],'WV 4.0'!$A:$N,ROW('WV 4.0'!40:40),0),"")</f>
        <v>0</v>
      </c>
      <c r="I51" s="42">
        <f>IFERROR(HLOOKUP(Таблица5[[#Headers],[Срок поставки]],'WV 4.0'!$A:$N,ROW('WV 4.0'!40:40),0),"")</f>
        <v>0</v>
      </c>
      <c r="J51" s="27" t="str">
        <f>IFERROR(HLOOKUP(Таблица5[[#Headers],[Цена КазНИИСА]],'WV 4.0'!$A:$N,ROW('WV 4.0'!40:40),0),"")</f>
        <v/>
      </c>
      <c r="K51" s="27" t="str">
        <f>IFERROR(HLOOKUP(Таблица5[[#Headers],[Сумма КазНИИСА]],'WV 4.0'!$A:$N,ROW('WV 4.0'!40:40),0),"")</f>
        <v/>
      </c>
      <c r="L51" s="27">
        <f>IFERROR(HLOOKUP(Таблица5[[#Headers],[Код КазНИИСА]],'WV 4.0'!$A:$N,ROW('WV 4.0'!40:40),0),"")</f>
        <v>0</v>
      </c>
      <c r="M51" s="27" t="str">
        <f>IFERROR(HLOOKUP(Таблица5[[#Headers],[РРЦ в тнг]],'WV 4.0'!$A:$N,ROW('WV 4.0'!40:40),0),"")</f>
        <v/>
      </c>
      <c r="N51" s="27" t="str">
        <f>IFERROR(HLOOKUP(Таблица5[[#Headers],[Сумма РРЦ]],'WV 4.0'!$A:$N,ROW('WV 4.0'!40:40),0),"")</f>
        <v/>
      </c>
    </row>
    <row r="52" spans="1:14" x14ac:dyDescent="0.25">
      <c r="A52" s="29">
        <f>IFERROR('WV 4.0'!A41, " ")</f>
        <v>0</v>
      </c>
      <c r="B52" s="29">
        <f>IFERROR('WV 4.0'!B41, " ")</f>
        <v>0</v>
      </c>
      <c r="C52" s="29">
        <f>IFERROR('WV 4.0'!C41, " ")</f>
        <v>0</v>
      </c>
      <c r="D52" s="29">
        <f>IFERROR('WV 4.0'!D41, " ")</f>
        <v>0</v>
      </c>
      <c r="E52" s="29">
        <f>IFERROR('WV 4.0'!E41, " ")</f>
        <v>0</v>
      </c>
      <c r="F52" s="27">
        <f>IFERROR(ROUND(HLOOKUP(Таблица5[[#Headers],[Цена КП]],'WV 4.0'!$A:$N,ROW('WV 4.0'!41:41),0),0),"")</f>
        <v>0</v>
      </c>
      <c r="G52" s="27">
        <f>IFERROR(Таблица5[[#This Row],[Цена КП]]*Таблица5[[#This Row],[Кол-во]],"")</f>
        <v>0</v>
      </c>
      <c r="H52" s="42">
        <f>IFERROR(HLOOKUP(Таблица5[[#Headers],[Комментарии]],'WV 4.0'!$A:$N,ROW('WV 4.0'!41:41),0),"")</f>
        <v>0</v>
      </c>
      <c r="I52" s="42">
        <f>IFERROR(HLOOKUP(Таблица5[[#Headers],[Срок поставки]],'WV 4.0'!$A:$N,ROW('WV 4.0'!41:41),0),"")</f>
        <v>0</v>
      </c>
      <c r="J52" s="27" t="str">
        <f>IFERROR(HLOOKUP(Таблица5[[#Headers],[Цена КазНИИСА]],'WV 4.0'!$A:$N,ROW('WV 4.0'!41:41),0),"")</f>
        <v/>
      </c>
      <c r="K52" s="27" t="str">
        <f>IFERROR(HLOOKUP(Таблица5[[#Headers],[Сумма КазНИИСА]],'WV 4.0'!$A:$N,ROW('WV 4.0'!41:41),0),"")</f>
        <v/>
      </c>
      <c r="L52" s="27">
        <f>IFERROR(HLOOKUP(Таблица5[[#Headers],[Код КазНИИСА]],'WV 4.0'!$A:$N,ROW('WV 4.0'!41:41),0),"")</f>
        <v>0</v>
      </c>
      <c r="M52" s="27" t="str">
        <f>IFERROR(HLOOKUP(Таблица5[[#Headers],[РРЦ в тнг]],'WV 4.0'!$A:$N,ROW('WV 4.0'!41:41),0),"")</f>
        <v/>
      </c>
      <c r="N52" s="27" t="str">
        <f>IFERROR(HLOOKUP(Таблица5[[#Headers],[Сумма РРЦ]],'WV 4.0'!$A:$N,ROW('WV 4.0'!41:41),0),"")</f>
        <v/>
      </c>
    </row>
    <row r="53" spans="1:14" x14ac:dyDescent="0.25">
      <c r="A53" s="29">
        <f>IFERROR('WV 4.0'!A42, " ")</f>
        <v>0</v>
      </c>
      <c r="B53" s="29">
        <f>IFERROR('WV 4.0'!B42, " ")</f>
        <v>0</v>
      </c>
      <c r="C53" s="29">
        <f>IFERROR('WV 4.0'!C42, " ")</f>
        <v>0</v>
      </c>
      <c r="D53" s="29">
        <f>IFERROR('WV 4.0'!D42, " ")</f>
        <v>0</v>
      </c>
      <c r="E53" s="29">
        <f>IFERROR('WV 4.0'!E42, " ")</f>
        <v>0</v>
      </c>
      <c r="F53" s="27">
        <f>IFERROR(ROUND(HLOOKUP(Таблица5[[#Headers],[Цена КП]],'WV 4.0'!$A:$N,ROW('WV 4.0'!42:42),0),0),"")</f>
        <v>0</v>
      </c>
      <c r="G53" s="27">
        <f>IFERROR(Таблица5[[#This Row],[Цена КП]]*Таблица5[[#This Row],[Кол-во]],"")</f>
        <v>0</v>
      </c>
      <c r="H53" s="42">
        <f>IFERROR(HLOOKUP(Таблица5[[#Headers],[Комментарии]],'WV 4.0'!$A:$N,ROW('WV 4.0'!42:42),0),"")</f>
        <v>0</v>
      </c>
      <c r="I53" s="42">
        <f>IFERROR(HLOOKUP(Таблица5[[#Headers],[Срок поставки]],'WV 4.0'!$A:$N,ROW('WV 4.0'!42:42),0),"")</f>
        <v>0</v>
      </c>
      <c r="J53" s="27" t="str">
        <f>IFERROR(HLOOKUP(Таблица5[[#Headers],[Цена КазНИИСА]],'WV 4.0'!$A:$N,ROW('WV 4.0'!42:42),0),"")</f>
        <v/>
      </c>
      <c r="K53" s="27" t="str">
        <f>IFERROR(HLOOKUP(Таблица5[[#Headers],[Сумма КазНИИСА]],'WV 4.0'!$A:$N,ROW('WV 4.0'!42:42),0),"")</f>
        <v/>
      </c>
      <c r="L53" s="27">
        <f>IFERROR(HLOOKUP(Таблица5[[#Headers],[Код КазНИИСА]],'WV 4.0'!$A:$N,ROW('WV 4.0'!42:42),0),"")</f>
        <v>0</v>
      </c>
      <c r="M53" s="27" t="str">
        <f>IFERROR(HLOOKUP(Таблица5[[#Headers],[РРЦ в тнг]],'WV 4.0'!$A:$N,ROW('WV 4.0'!42:42),0),"")</f>
        <v/>
      </c>
      <c r="N53" s="27" t="str">
        <f>IFERROR(HLOOKUP(Таблица5[[#Headers],[Сумма РРЦ]],'WV 4.0'!$A:$N,ROW('WV 4.0'!42:42),0),"")</f>
        <v/>
      </c>
    </row>
    <row r="54" spans="1:14" x14ac:dyDescent="0.25">
      <c r="A54" s="29">
        <f>IFERROR('WV 4.0'!A43, " ")</f>
        <v>0</v>
      </c>
      <c r="B54" s="29">
        <f>IFERROR('WV 4.0'!B43, " ")</f>
        <v>0</v>
      </c>
      <c r="C54" s="29">
        <f>IFERROR('WV 4.0'!C43, " ")</f>
        <v>0</v>
      </c>
      <c r="D54" s="29">
        <f>IFERROR('WV 4.0'!D43, " ")</f>
        <v>0</v>
      </c>
      <c r="E54" s="29">
        <f>IFERROR('WV 4.0'!E43, " ")</f>
        <v>0</v>
      </c>
      <c r="F54" s="27">
        <f>IFERROR(ROUND(HLOOKUP(Таблица5[[#Headers],[Цена КП]],'WV 4.0'!$A:$N,ROW('WV 4.0'!43:43),0),0),"")</f>
        <v>0</v>
      </c>
      <c r="G54" s="27">
        <f>IFERROR(Таблица5[[#This Row],[Цена КП]]*Таблица5[[#This Row],[Кол-во]],"")</f>
        <v>0</v>
      </c>
      <c r="H54" s="42">
        <f>IFERROR(HLOOKUP(Таблица5[[#Headers],[Комментарии]],'WV 4.0'!$A:$N,ROW('WV 4.0'!43:43),0),"")</f>
        <v>0</v>
      </c>
      <c r="I54" s="42">
        <f>IFERROR(HLOOKUP(Таблица5[[#Headers],[Срок поставки]],'WV 4.0'!$A:$N,ROW('WV 4.0'!43:43),0),"")</f>
        <v>0</v>
      </c>
      <c r="J54" s="27" t="str">
        <f>IFERROR(HLOOKUP(Таблица5[[#Headers],[Цена КазНИИСА]],'WV 4.0'!$A:$N,ROW('WV 4.0'!43:43),0),"")</f>
        <v/>
      </c>
      <c r="K54" s="27" t="str">
        <f>IFERROR(HLOOKUP(Таблица5[[#Headers],[Сумма КазНИИСА]],'WV 4.0'!$A:$N,ROW('WV 4.0'!43:43),0),"")</f>
        <v/>
      </c>
      <c r="L54" s="27">
        <f>IFERROR(HLOOKUP(Таблица5[[#Headers],[Код КазНИИСА]],'WV 4.0'!$A:$N,ROW('WV 4.0'!43:43),0),"")</f>
        <v>0</v>
      </c>
      <c r="M54" s="27" t="str">
        <f>IFERROR(HLOOKUP(Таблица5[[#Headers],[РРЦ в тнг]],'WV 4.0'!$A:$N,ROW('WV 4.0'!43:43),0),"")</f>
        <v/>
      </c>
      <c r="N54" s="27" t="str">
        <f>IFERROR(HLOOKUP(Таблица5[[#Headers],[Сумма РРЦ]],'WV 4.0'!$A:$N,ROW('WV 4.0'!43:43),0),"")</f>
        <v/>
      </c>
    </row>
    <row r="55" spans="1:14" x14ac:dyDescent="0.25">
      <c r="A55" s="29">
        <f>IFERROR('WV 4.0'!A44, " ")</f>
        <v>0</v>
      </c>
      <c r="B55" s="29">
        <f>IFERROR('WV 4.0'!B44, " ")</f>
        <v>0</v>
      </c>
      <c r="C55" s="29">
        <f>IFERROR('WV 4.0'!C44, " ")</f>
        <v>0</v>
      </c>
      <c r="D55" s="29">
        <f>IFERROR('WV 4.0'!D44, " ")</f>
        <v>0</v>
      </c>
      <c r="E55" s="29">
        <f>IFERROR('WV 4.0'!E44, " ")</f>
        <v>0</v>
      </c>
      <c r="F55" s="27">
        <f>IFERROR(ROUND(HLOOKUP(Таблица5[[#Headers],[Цена КП]],'WV 4.0'!$A:$N,ROW('WV 4.0'!44:44),0),0),"")</f>
        <v>0</v>
      </c>
      <c r="G55" s="27">
        <f>IFERROR(Таблица5[[#This Row],[Цена КП]]*Таблица5[[#This Row],[Кол-во]],"")</f>
        <v>0</v>
      </c>
      <c r="H55" s="42">
        <f>IFERROR(HLOOKUP(Таблица5[[#Headers],[Комментарии]],'WV 4.0'!$A:$N,ROW('WV 4.0'!44:44),0),"")</f>
        <v>0</v>
      </c>
      <c r="I55" s="42">
        <f>IFERROR(HLOOKUP(Таблица5[[#Headers],[Срок поставки]],'WV 4.0'!$A:$N,ROW('WV 4.0'!44:44),0),"")</f>
        <v>0</v>
      </c>
      <c r="J55" s="27" t="str">
        <f>IFERROR(HLOOKUP(Таблица5[[#Headers],[Цена КазНИИСА]],'WV 4.0'!$A:$N,ROW('WV 4.0'!44:44),0),"")</f>
        <v/>
      </c>
      <c r="K55" s="27" t="str">
        <f>IFERROR(HLOOKUP(Таблица5[[#Headers],[Сумма КазНИИСА]],'WV 4.0'!$A:$N,ROW('WV 4.0'!44:44),0),"")</f>
        <v/>
      </c>
      <c r="L55" s="27">
        <f>IFERROR(HLOOKUP(Таблица5[[#Headers],[Код КазНИИСА]],'WV 4.0'!$A:$N,ROW('WV 4.0'!44:44),0),"")</f>
        <v>0</v>
      </c>
      <c r="M55" s="27" t="str">
        <f>IFERROR(HLOOKUP(Таблица5[[#Headers],[РРЦ в тнг]],'WV 4.0'!$A:$N,ROW('WV 4.0'!44:44),0),"")</f>
        <v/>
      </c>
      <c r="N55" s="27" t="str">
        <f>IFERROR(HLOOKUP(Таблица5[[#Headers],[Сумма РРЦ]],'WV 4.0'!$A:$N,ROW('WV 4.0'!44:44),0),"")</f>
        <v/>
      </c>
    </row>
    <row r="56" spans="1:14" x14ac:dyDescent="0.25">
      <c r="A56" s="29">
        <f>IFERROR('WV 4.0'!A45, " ")</f>
        <v>0</v>
      </c>
      <c r="B56" s="29">
        <f>IFERROR('WV 4.0'!B45, " ")</f>
        <v>0</v>
      </c>
      <c r="C56" s="29">
        <f>IFERROR('WV 4.0'!C45, " ")</f>
        <v>0</v>
      </c>
      <c r="D56" s="29">
        <f>IFERROR('WV 4.0'!D45, " ")</f>
        <v>0</v>
      </c>
      <c r="E56" s="29">
        <f>IFERROR('WV 4.0'!E45, " ")</f>
        <v>0</v>
      </c>
      <c r="F56" s="27">
        <f>IFERROR(ROUND(HLOOKUP(Таблица5[[#Headers],[Цена КП]],'WV 4.0'!$A:$N,ROW('WV 4.0'!45:45),0),0),"")</f>
        <v>0</v>
      </c>
      <c r="G56" s="27">
        <f>IFERROR(Таблица5[[#This Row],[Цена КП]]*Таблица5[[#This Row],[Кол-во]],"")</f>
        <v>0</v>
      </c>
      <c r="H56" s="42">
        <f>IFERROR(HLOOKUP(Таблица5[[#Headers],[Комментарии]],'WV 4.0'!$A:$N,ROW('WV 4.0'!45:45),0),"")</f>
        <v>0</v>
      </c>
      <c r="I56" s="42">
        <f>IFERROR(HLOOKUP(Таблица5[[#Headers],[Срок поставки]],'WV 4.0'!$A:$N,ROW('WV 4.0'!45:45),0),"")</f>
        <v>0</v>
      </c>
      <c r="J56" s="27" t="str">
        <f>IFERROR(HLOOKUP(Таблица5[[#Headers],[Цена КазНИИСА]],'WV 4.0'!$A:$N,ROW('WV 4.0'!45:45),0),"")</f>
        <v/>
      </c>
      <c r="K56" s="27" t="str">
        <f>IFERROR(HLOOKUP(Таблица5[[#Headers],[Сумма КазНИИСА]],'WV 4.0'!$A:$N,ROW('WV 4.0'!45:45),0),"")</f>
        <v/>
      </c>
      <c r="L56" s="27">
        <f>IFERROR(HLOOKUP(Таблица5[[#Headers],[Код КазНИИСА]],'WV 4.0'!$A:$N,ROW('WV 4.0'!45:45),0),"")</f>
        <v>0</v>
      </c>
      <c r="M56" s="27" t="str">
        <f>IFERROR(HLOOKUP(Таблица5[[#Headers],[РРЦ в тнг]],'WV 4.0'!$A:$N,ROW('WV 4.0'!45:45),0),"")</f>
        <v/>
      </c>
      <c r="N56" s="27" t="str">
        <f>IFERROR(HLOOKUP(Таблица5[[#Headers],[Сумма РРЦ]],'WV 4.0'!$A:$N,ROW('WV 4.0'!45:45),0),"")</f>
        <v/>
      </c>
    </row>
    <row r="57" spans="1:14" x14ac:dyDescent="0.25">
      <c r="A57" s="29">
        <f>IFERROR('WV 4.0'!A46, " ")</f>
        <v>0</v>
      </c>
      <c r="B57" s="29">
        <f>IFERROR('WV 4.0'!B46, " ")</f>
        <v>0</v>
      </c>
      <c r="C57" s="29">
        <f>IFERROR('WV 4.0'!C46, " ")</f>
        <v>0</v>
      </c>
      <c r="D57" s="29">
        <f>IFERROR('WV 4.0'!D46, " ")</f>
        <v>0</v>
      </c>
      <c r="E57" s="29">
        <f>IFERROR('WV 4.0'!E46, " ")</f>
        <v>0</v>
      </c>
      <c r="F57" s="27">
        <f>IFERROR(ROUND(HLOOKUP(Таблица5[[#Headers],[Цена КП]],'WV 4.0'!$A:$N,ROW('WV 4.0'!46:46),0),0),"")</f>
        <v>0</v>
      </c>
      <c r="G57" s="27">
        <f>IFERROR(Таблица5[[#This Row],[Цена КП]]*Таблица5[[#This Row],[Кол-во]],"")</f>
        <v>0</v>
      </c>
      <c r="H57" s="42">
        <f>IFERROR(HLOOKUP(Таблица5[[#Headers],[Комментарии]],'WV 4.0'!$A:$N,ROW('WV 4.0'!46:46),0),"")</f>
        <v>0</v>
      </c>
      <c r="I57" s="42">
        <f>IFERROR(HLOOKUP(Таблица5[[#Headers],[Срок поставки]],'WV 4.0'!$A:$N,ROW('WV 4.0'!46:46),0),"")</f>
        <v>0</v>
      </c>
      <c r="J57" s="27" t="str">
        <f>IFERROR(HLOOKUP(Таблица5[[#Headers],[Цена КазНИИСА]],'WV 4.0'!$A:$N,ROW('WV 4.0'!46:46),0),"")</f>
        <v/>
      </c>
      <c r="K57" s="27" t="str">
        <f>IFERROR(HLOOKUP(Таблица5[[#Headers],[Сумма КазНИИСА]],'WV 4.0'!$A:$N,ROW('WV 4.0'!46:46),0),"")</f>
        <v/>
      </c>
      <c r="L57" s="27">
        <f>IFERROR(HLOOKUP(Таблица5[[#Headers],[Код КазНИИСА]],'WV 4.0'!$A:$N,ROW('WV 4.0'!46:46),0),"")</f>
        <v>0</v>
      </c>
      <c r="M57" s="27" t="str">
        <f>IFERROR(HLOOKUP(Таблица5[[#Headers],[РРЦ в тнг]],'WV 4.0'!$A:$N,ROW('WV 4.0'!46:46),0),"")</f>
        <v/>
      </c>
      <c r="N57" s="27" t="str">
        <f>IFERROR(HLOOKUP(Таблица5[[#Headers],[Сумма РРЦ]],'WV 4.0'!$A:$N,ROW('WV 4.0'!46:46),0),"")</f>
        <v/>
      </c>
    </row>
    <row r="58" spans="1:14" x14ac:dyDescent="0.25">
      <c r="A58" s="29">
        <f>IFERROR('WV 4.0'!A47, " ")</f>
        <v>0</v>
      </c>
      <c r="B58" s="29">
        <f>IFERROR('WV 4.0'!B47, " ")</f>
        <v>0</v>
      </c>
      <c r="C58" s="29">
        <f>IFERROR('WV 4.0'!C47, " ")</f>
        <v>0</v>
      </c>
      <c r="D58" s="29">
        <f>IFERROR('WV 4.0'!D47, " ")</f>
        <v>0</v>
      </c>
      <c r="E58" s="29">
        <f>IFERROR('WV 4.0'!E47, " ")</f>
        <v>0</v>
      </c>
      <c r="F58" s="27">
        <f>IFERROR(ROUND(HLOOKUP(Таблица5[[#Headers],[Цена КП]],'WV 4.0'!$A:$N,ROW('WV 4.0'!47:47),0),0),"")</f>
        <v>0</v>
      </c>
      <c r="G58" s="27">
        <f>IFERROR(Таблица5[[#This Row],[Цена КП]]*Таблица5[[#This Row],[Кол-во]],"")</f>
        <v>0</v>
      </c>
      <c r="H58" s="42">
        <f>IFERROR(HLOOKUP(Таблица5[[#Headers],[Комментарии]],'WV 4.0'!$A:$N,ROW('WV 4.0'!47:47),0),"")</f>
        <v>0</v>
      </c>
      <c r="I58" s="42">
        <f>IFERROR(HLOOKUP(Таблица5[[#Headers],[Срок поставки]],'WV 4.0'!$A:$N,ROW('WV 4.0'!47:47),0),"")</f>
        <v>0</v>
      </c>
      <c r="J58" s="27" t="str">
        <f>IFERROR(HLOOKUP(Таблица5[[#Headers],[Цена КазНИИСА]],'WV 4.0'!$A:$N,ROW('WV 4.0'!47:47),0),"")</f>
        <v/>
      </c>
      <c r="K58" s="27" t="str">
        <f>IFERROR(HLOOKUP(Таблица5[[#Headers],[Сумма КазНИИСА]],'WV 4.0'!$A:$N,ROW('WV 4.0'!47:47),0),"")</f>
        <v/>
      </c>
      <c r="L58" s="27">
        <f>IFERROR(HLOOKUP(Таблица5[[#Headers],[Код КазНИИСА]],'WV 4.0'!$A:$N,ROW('WV 4.0'!47:47),0),"")</f>
        <v>0</v>
      </c>
      <c r="M58" s="27" t="str">
        <f>IFERROR(HLOOKUP(Таблица5[[#Headers],[РРЦ в тнг]],'WV 4.0'!$A:$N,ROW('WV 4.0'!47:47),0),"")</f>
        <v/>
      </c>
      <c r="N58" s="27" t="str">
        <f>IFERROR(HLOOKUP(Таблица5[[#Headers],[Сумма РРЦ]],'WV 4.0'!$A:$N,ROW('WV 4.0'!47:47),0),"")</f>
        <v/>
      </c>
    </row>
    <row r="59" spans="1:14" x14ac:dyDescent="0.25">
      <c r="A59" s="29">
        <f>IFERROR('WV 4.0'!A48, " ")</f>
        <v>0</v>
      </c>
      <c r="B59" s="29">
        <f>IFERROR('WV 4.0'!B48, " ")</f>
        <v>0</v>
      </c>
      <c r="C59" s="29">
        <f>IFERROR('WV 4.0'!C48, " ")</f>
        <v>0</v>
      </c>
      <c r="D59" s="29">
        <f>IFERROR('WV 4.0'!D48, " ")</f>
        <v>0</v>
      </c>
      <c r="E59" s="29">
        <f>IFERROR('WV 4.0'!E48, " ")</f>
        <v>0</v>
      </c>
      <c r="F59" s="27">
        <f>IFERROR(ROUND(HLOOKUP(Таблица5[[#Headers],[Цена КП]],'WV 4.0'!$A:$N,ROW('WV 4.0'!48:48),0),0),"")</f>
        <v>0</v>
      </c>
      <c r="G59" s="27">
        <f>IFERROR(Таблица5[[#This Row],[Цена КП]]*Таблица5[[#This Row],[Кол-во]],"")</f>
        <v>0</v>
      </c>
      <c r="H59" s="42">
        <f>IFERROR(HLOOKUP(Таблица5[[#Headers],[Комментарии]],'WV 4.0'!$A:$N,ROW('WV 4.0'!48:48),0),"")</f>
        <v>0</v>
      </c>
      <c r="I59" s="42">
        <f>IFERROR(HLOOKUP(Таблица5[[#Headers],[Срок поставки]],'WV 4.0'!$A:$N,ROW('WV 4.0'!48:48),0),"")</f>
        <v>0</v>
      </c>
      <c r="J59" s="27" t="str">
        <f>IFERROR(HLOOKUP(Таблица5[[#Headers],[Цена КазНИИСА]],'WV 4.0'!$A:$N,ROW('WV 4.0'!48:48),0),"")</f>
        <v/>
      </c>
      <c r="K59" s="27" t="str">
        <f>IFERROR(HLOOKUP(Таблица5[[#Headers],[Сумма КазНИИСА]],'WV 4.0'!$A:$N,ROW('WV 4.0'!48:48),0),"")</f>
        <v/>
      </c>
      <c r="L59" s="27">
        <f>IFERROR(HLOOKUP(Таблица5[[#Headers],[Код КазНИИСА]],'WV 4.0'!$A:$N,ROW('WV 4.0'!48:48),0),"")</f>
        <v>0</v>
      </c>
      <c r="M59" s="27" t="str">
        <f>IFERROR(HLOOKUP(Таблица5[[#Headers],[РРЦ в тнг]],'WV 4.0'!$A:$N,ROW('WV 4.0'!48:48),0),"")</f>
        <v/>
      </c>
      <c r="N59" s="27" t="str">
        <f>IFERROR(HLOOKUP(Таблица5[[#Headers],[Сумма РРЦ]],'WV 4.0'!$A:$N,ROW('WV 4.0'!48:48),0),"")</f>
        <v/>
      </c>
    </row>
    <row r="60" spans="1:14" x14ac:dyDescent="0.25">
      <c r="A60" s="29">
        <f>IFERROR('WV 4.0'!A49, " ")</f>
        <v>0</v>
      </c>
      <c r="B60" s="29">
        <f>IFERROR('WV 4.0'!B49, " ")</f>
        <v>0</v>
      </c>
      <c r="C60" s="29">
        <f>IFERROR('WV 4.0'!C49, " ")</f>
        <v>0</v>
      </c>
      <c r="D60" s="29">
        <f>IFERROR('WV 4.0'!D49, " ")</f>
        <v>0</v>
      </c>
      <c r="E60" s="29">
        <f>IFERROR('WV 4.0'!E49, " ")</f>
        <v>0</v>
      </c>
      <c r="F60" s="27">
        <f>IFERROR(ROUND(HLOOKUP(Таблица5[[#Headers],[Цена КП]],'WV 4.0'!$A:$N,ROW('WV 4.0'!49:49),0),0),"")</f>
        <v>0</v>
      </c>
      <c r="G60" s="27">
        <f>IFERROR(Таблица5[[#This Row],[Цена КП]]*Таблица5[[#This Row],[Кол-во]],"")</f>
        <v>0</v>
      </c>
      <c r="H60" s="42">
        <f>IFERROR(HLOOKUP(Таблица5[[#Headers],[Комментарии]],'WV 4.0'!$A:$N,ROW('WV 4.0'!49:49),0),"")</f>
        <v>0</v>
      </c>
      <c r="I60" s="42">
        <f>IFERROR(HLOOKUP(Таблица5[[#Headers],[Срок поставки]],'WV 4.0'!$A:$N,ROW('WV 4.0'!49:49),0),"")</f>
        <v>0</v>
      </c>
      <c r="J60" s="27" t="str">
        <f>IFERROR(HLOOKUP(Таблица5[[#Headers],[Цена КазНИИСА]],'WV 4.0'!$A:$N,ROW('WV 4.0'!49:49),0),"")</f>
        <v/>
      </c>
      <c r="K60" s="27" t="str">
        <f>IFERROR(HLOOKUP(Таблица5[[#Headers],[Сумма КазНИИСА]],'WV 4.0'!$A:$N,ROW('WV 4.0'!49:49),0),"")</f>
        <v/>
      </c>
      <c r="L60" s="27">
        <f>IFERROR(HLOOKUP(Таблица5[[#Headers],[Код КазНИИСА]],'WV 4.0'!$A:$N,ROW('WV 4.0'!49:49),0),"")</f>
        <v>0</v>
      </c>
      <c r="M60" s="27" t="str">
        <f>IFERROR(HLOOKUP(Таблица5[[#Headers],[РРЦ в тнг]],'WV 4.0'!$A:$N,ROW('WV 4.0'!49:49),0),"")</f>
        <v/>
      </c>
      <c r="N60" s="27" t="str">
        <f>IFERROR(HLOOKUP(Таблица5[[#Headers],[Сумма РРЦ]],'WV 4.0'!$A:$N,ROW('WV 4.0'!49:49),0),"")</f>
        <v/>
      </c>
    </row>
    <row r="61" spans="1:14" x14ac:dyDescent="0.25">
      <c r="A61" s="29">
        <f>IFERROR('WV 4.0'!A50, " ")</f>
        <v>0</v>
      </c>
      <c r="B61" s="29">
        <f>IFERROR('WV 4.0'!B50, " ")</f>
        <v>0</v>
      </c>
      <c r="C61" s="29">
        <f>IFERROR('WV 4.0'!C50, " ")</f>
        <v>0</v>
      </c>
      <c r="D61" s="29">
        <f>IFERROR('WV 4.0'!D50, " ")</f>
        <v>0</v>
      </c>
      <c r="E61" s="29">
        <f>IFERROR('WV 4.0'!E50, " ")</f>
        <v>0</v>
      </c>
      <c r="F61" s="27">
        <f>IFERROR(ROUND(HLOOKUP(Таблица5[[#Headers],[Цена КП]],'WV 4.0'!$A:$N,ROW('WV 4.0'!50:50),0),0),"")</f>
        <v>0</v>
      </c>
      <c r="G61" s="27">
        <f>IFERROR(Таблица5[[#This Row],[Цена КП]]*Таблица5[[#This Row],[Кол-во]],"")</f>
        <v>0</v>
      </c>
      <c r="H61" s="42">
        <f>IFERROR(HLOOKUP(Таблица5[[#Headers],[Комментарии]],'WV 4.0'!$A:$N,ROW('WV 4.0'!50:50),0),"")</f>
        <v>0</v>
      </c>
      <c r="I61" s="42">
        <f>IFERROR(HLOOKUP(Таблица5[[#Headers],[Срок поставки]],'WV 4.0'!$A:$N,ROW('WV 4.0'!50:50),0),"")</f>
        <v>0</v>
      </c>
      <c r="J61" s="27" t="str">
        <f>IFERROR(HLOOKUP(Таблица5[[#Headers],[Цена КазНИИСА]],'WV 4.0'!$A:$N,ROW('WV 4.0'!50:50),0),"")</f>
        <v/>
      </c>
      <c r="K61" s="27" t="str">
        <f>IFERROR(HLOOKUP(Таблица5[[#Headers],[Сумма КазНИИСА]],'WV 4.0'!$A:$N,ROW('WV 4.0'!50:50),0),"")</f>
        <v/>
      </c>
      <c r="L61" s="27">
        <f>IFERROR(HLOOKUP(Таблица5[[#Headers],[Код КазНИИСА]],'WV 4.0'!$A:$N,ROW('WV 4.0'!50:50),0),"")</f>
        <v>0</v>
      </c>
      <c r="M61" s="27" t="str">
        <f>IFERROR(HLOOKUP(Таблица5[[#Headers],[РРЦ в тнг]],'WV 4.0'!$A:$N,ROW('WV 4.0'!50:50),0),"")</f>
        <v/>
      </c>
      <c r="N61" s="27" t="str">
        <f>IFERROR(HLOOKUP(Таблица5[[#Headers],[Сумма РРЦ]],'WV 4.0'!$A:$N,ROW('WV 4.0'!50:50),0),"")</f>
        <v/>
      </c>
    </row>
    <row r="62" spans="1:14" x14ac:dyDescent="0.25">
      <c r="A62" s="29">
        <f>IFERROR('WV 4.0'!A51, " ")</f>
        <v>0</v>
      </c>
      <c r="B62" s="29">
        <f>IFERROR('WV 4.0'!B51, " ")</f>
        <v>0</v>
      </c>
      <c r="C62" s="29">
        <f>IFERROR('WV 4.0'!C51, " ")</f>
        <v>0</v>
      </c>
      <c r="D62" s="29">
        <f>IFERROR('WV 4.0'!D51, " ")</f>
        <v>0</v>
      </c>
      <c r="E62" s="29">
        <f>IFERROR('WV 4.0'!E51, " ")</f>
        <v>0</v>
      </c>
      <c r="F62" s="27">
        <f>IFERROR(ROUND(HLOOKUP(Таблица5[[#Headers],[Цена КП]],'WV 4.0'!$A:$N,ROW('WV 4.0'!51:51),0),0),"")</f>
        <v>0</v>
      </c>
      <c r="G62" s="27">
        <f>IFERROR(Таблица5[[#This Row],[Цена КП]]*Таблица5[[#This Row],[Кол-во]],"")</f>
        <v>0</v>
      </c>
      <c r="H62" s="42">
        <f>IFERROR(HLOOKUP(Таблица5[[#Headers],[Комментарии]],'WV 4.0'!$A:$N,ROW('WV 4.0'!51:51),0),"")</f>
        <v>0</v>
      </c>
      <c r="I62" s="42">
        <f>IFERROR(HLOOKUP(Таблица5[[#Headers],[Срок поставки]],'WV 4.0'!$A:$N,ROW('WV 4.0'!51:51),0),"")</f>
        <v>0</v>
      </c>
      <c r="J62" s="27" t="str">
        <f>IFERROR(HLOOKUP(Таблица5[[#Headers],[Цена КазНИИСА]],'WV 4.0'!$A:$N,ROW('WV 4.0'!51:51),0),"")</f>
        <v/>
      </c>
      <c r="K62" s="27" t="str">
        <f>IFERROR(HLOOKUP(Таблица5[[#Headers],[Сумма КазНИИСА]],'WV 4.0'!$A:$N,ROW('WV 4.0'!51:51),0),"")</f>
        <v/>
      </c>
      <c r="L62" s="27">
        <f>IFERROR(HLOOKUP(Таблица5[[#Headers],[Код КазНИИСА]],'WV 4.0'!$A:$N,ROW('WV 4.0'!51:51),0),"")</f>
        <v>0</v>
      </c>
      <c r="M62" s="27" t="str">
        <f>IFERROR(HLOOKUP(Таблица5[[#Headers],[РРЦ в тнг]],'WV 4.0'!$A:$N,ROW('WV 4.0'!51:51),0),"")</f>
        <v/>
      </c>
      <c r="N62" s="27" t="str">
        <f>IFERROR(HLOOKUP(Таблица5[[#Headers],[Сумма РРЦ]],'WV 4.0'!$A:$N,ROW('WV 4.0'!51:51),0),"")</f>
        <v/>
      </c>
    </row>
    <row r="63" spans="1:14" x14ac:dyDescent="0.25">
      <c r="A63" s="29">
        <f>IFERROR('WV 4.0'!A52, " ")</f>
        <v>0</v>
      </c>
      <c r="B63" s="29">
        <f>IFERROR('WV 4.0'!B52, " ")</f>
        <v>0</v>
      </c>
      <c r="C63" s="29">
        <f>IFERROR('WV 4.0'!C52, " ")</f>
        <v>0</v>
      </c>
      <c r="D63" s="29">
        <f>IFERROR('WV 4.0'!D52, " ")</f>
        <v>0</v>
      </c>
      <c r="E63" s="29">
        <f>IFERROR('WV 4.0'!E52, " ")</f>
        <v>0</v>
      </c>
      <c r="F63" s="27">
        <f>IFERROR(ROUND(HLOOKUP(Таблица5[[#Headers],[Цена КП]],'WV 4.0'!$A:$N,ROW('WV 4.0'!52:52),0),0),"")</f>
        <v>0</v>
      </c>
      <c r="G63" s="27">
        <f>IFERROR(Таблица5[[#This Row],[Цена КП]]*Таблица5[[#This Row],[Кол-во]],"")</f>
        <v>0</v>
      </c>
      <c r="H63" s="42">
        <f>IFERROR(HLOOKUP(Таблица5[[#Headers],[Комментарии]],'WV 4.0'!$A:$N,ROW('WV 4.0'!52:52),0),"")</f>
        <v>0</v>
      </c>
      <c r="I63" s="42">
        <f>IFERROR(HLOOKUP(Таблица5[[#Headers],[Срок поставки]],'WV 4.0'!$A:$N,ROW('WV 4.0'!52:52),0),"")</f>
        <v>0</v>
      </c>
      <c r="J63" s="27" t="str">
        <f>IFERROR(HLOOKUP(Таблица5[[#Headers],[Цена КазНИИСА]],'WV 4.0'!$A:$N,ROW('WV 4.0'!52:52),0),"")</f>
        <v/>
      </c>
      <c r="K63" s="27" t="str">
        <f>IFERROR(HLOOKUP(Таблица5[[#Headers],[Сумма КазНИИСА]],'WV 4.0'!$A:$N,ROW('WV 4.0'!52:52),0),"")</f>
        <v/>
      </c>
      <c r="L63" s="27">
        <f>IFERROR(HLOOKUP(Таблица5[[#Headers],[Код КазНИИСА]],'WV 4.0'!$A:$N,ROW('WV 4.0'!52:52),0),"")</f>
        <v>0</v>
      </c>
      <c r="M63" s="27" t="str">
        <f>IFERROR(HLOOKUP(Таблица5[[#Headers],[РРЦ в тнг]],'WV 4.0'!$A:$N,ROW('WV 4.0'!52:52),0),"")</f>
        <v/>
      </c>
      <c r="N63" s="27" t="str">
        <f>IFERROR(HLOOKUP(Таблица5[[#Headers],[Сумма РРЦ]],'WV 4.0'!$A:$N,ROW('WV 4.0'!52:52),0),"")</f>
        <v/>
      </c>
    </row>
    <row r="64" spans="1:14" x14ac:dyDescent="0.25">
      <c r="A64" s="29">
        <f>IFERROR('WV 4.0'!A53, " ")</f>
        <v>0</v>
      </c>
      <c r="B64" s="29">
        <f>IFERROR('WV 4.0'!B53, " ")</f>
        <v>0</v>
      </c>
      <c r="C64" s="29">
        <f>IFERROR('WV 4.0'!C53, " ")</f>
        <v>0</v>
      </c>
      <c r="D64" s="29">
        <f>IFERROR('WV 4.0'!D53, " ")</f>
        <v>0</v>
      </c>
      <c r="E64" s="29">
        <f>IFERROR('WV 4.0'!E53, " ")</f>
        <v>0</v>
      </c>
      <c r="F64" s="27">
        <f>IFERROR(ROUND(HLOOKUP(Таблица5[[#Headers],[Цена КП]],'WV 4.0'!$A:$N,ROW('WV 4.0'!53:53),0),0),"")</f>
        <v>0</v>
      </c>
      <c r="G64" s="27">
        <f>IFERROR(Таблица5[[#This Row],[Цена КП]]*Таблица5[[#This Row],[Кол-во]],"")</f>
        <v>0</v>
      </c>
      <c r="H64" s="42">
        <f>IFERROR(HLOOKUP(Таблица5[[#Headers],[Комментарии]],'WV 4.0'!$A:$N,ROW('WV 4.0'!53:53),0),"")</f>
        <v>0</v>
      </c>
      <c r="I64" s="42">
        <f>IFERROR(HLOOKUP(Таблица5[[#Headers],[Срок поставки]],'WV 4.0'!$A:$N,ROW('WV 4.0'!53:53),0),"")</f>
        <v>0</v>
      </c>
      <c r="J64" s="27" t="str">
        <f>IFERROR(HLOOKUP(Таблица5[[#Headers],[Цена КазНИИСА]],'WV 4.0'!$A:$N,ROW('WV 4.0'!53:53),0),"")</f>
        <v/>
      </c>
      <c r="K64" s="27" t="str">
        <f>IFERROR(HLOOKUP(Таблица5[[#Headers],[Сумма КазНИИСА]],'WV 4.0'!$A:$N,ROW('WV 4.0'!53:53),0),"")</f>
        <v/>
      </c>
      <c r="L64" s="27">
        <f>IFERROR(HLOOKUP(Таблица5[[#Headers],[Код КазНИИСА]],'WV 4.0'!$A:$N,ROW('WV 4.0'!53:53),0),"")</f>
        <v>0</v>
      </c>
      <c r="M64" s="27" t="str">
        <f>IFERROR(HLOOKUP(Таблица5[[#Headers],[РРЦ в тнг]],'WV 4.0'!$A:$N,ROW('WV 4.0'!53:53),0),"")</f>
        <v/>
      </c>
      <c r="N64" s="27" t="str">
        <f>IFERROR(HLOOKUP(Таблица5[[#Headers],[Сумма РРЦ]],'WV 4.0'!$A:$N,ROW('WV 4.0'!53:53),0),"")</f>
        <v/>
      </c>
    </row>
    <row r="65" spans="1:14" x14ac:dyDescent="0.25">
      <c r="A65" s="29">
        <f>IFERROR('WV 4.0'!A54, " ")</f>
        <v>0</v>
      </c>
      <c r="B65" s="29">
        <f>IFERROR('WV 4.0'!B54, " ")</f>
        <v>0</v>
      </c>
      <c r="C65" s="29">
        <f>IFERROR('WV 4.0'!C54, " ")</f>
        <v>0</v>
      </c>
      <c r="D65" s="29">
        <f>IFERROR('WV 4.0'!D54, " ")</f>
        <v>0</v>
      </c>
      <c r="E65" s="29">
        <f>IFERROR('WV 4.0'!E54, " ")</f>
        <v>0</v>
      </c>
      <c r="F65" s="27">
        <f>IFERROR(ROUND(HLOOKUP(Таблица5[[#Headers],[Цена КП]],'WV 4.0'!$A:$N,ROW('WV 4.0'!54:54),0),0),"")</f>
        <v>0</v>
      </c>
      <c r="G65" s="27">
        <f>IFERROR(Таблица5[[#This Row],[Цена КП]]*Таблица5[[#This Row],[Кол-во]],"")</f>
        <v>0</v>
      </c>
      <c r="H65" s="42">
        <f>IFERROR(HLOOKUP(Таблица5[[#Headers],[Комментарии]],'WV 4.0'!$A:$N,ROW('WV 4.0'!54:54),0),"")</f>
        <v>0</v>
      </c>
      <c r="I65" s="42">
        <f>IFERROR(HLOOKUP(Таблица5[[#Headers],[Срок поставки]],'WV 4.0'!$A:$N,ROW('WV 4.0'!54:54),0),"")</f>
        <v>0</v>
      </c>
      <c r="J65" s="27" t="str">
        <f>IFERROR(HLOOKUP(Таблица5[[#Headers],[Цена КазНИИСА]],'WV 4.0'!$A:$N,ROW('WV 4.0'!54:54),0),"")</f>
        <v/>
      </c>
      <c r="K65" s="27" t="str">
        <f>IFERROR(HLOOKUP(Таблица5[[#Headers],[Сумма КазНИИСА]],'WV 4.0'!$A:$N,ROW('WV 4.0'!54:54),0),"")</f>
        <v/>
      </c>
      <c r="L65" s="27">
        <f>IFERROR(HLOOKUP(Таблица5[[#Headers],[Код КазНИИСА]],'WV 4.0'!$A:$N,ROW('WV 4.0'!54:54),0),"")</f>
        <v>0</v>
      </c>
      <c r="M65" s="27" t="str">
        <f>IFERROR(HLOOKUP(Таблица5[[#Headers],[РРЦ в тнг]],'WV 4.0'!$A:$N,ROW('WV 4.0'!54:54),0),"")</f>
        <v/>
      </c>
      <c r="N65" s="27" t="str">
        <f>IFERROR(HLOOKUP(Таблица5[[#Headers],[Сумма РРЦ]],'WV 4.0'!$A:$N,ROW('WV 4.0'!54:54),0),"")</f>
        <v/>
      </c>
    </row>
    <row r="66" spans="1:14" x14ac:dyDescent="0.25">
      <c r="A66" s="29">
        <f>IFERROR('WV 4.0'!A55, " ")</f>
        <v>0</v>
      </c>
      <c r="B66" s="29">
        <f>IFERROR('WV 4.0'!B55, " ")</f>
        <v>0</v>
      </c>
      <c r="C66" s="29">
        <f>IFERROR('WV 4.0'!C55, " ")</f>
        <v>0</v>
      </c>
      <c r="D66" s="29">
        <f>IFERROR('WV 4.0'!D55, " ")</f>
        <v>0</v>
      </c>
      <c r="E66" s="29">
        <f>IFERROR('WV 4.0'!E55, " ")</f>
        <v>0</v>
      </c>
      <c r="F66" s="27">
        <f>IFERROR(ROUND(HLOOKUP(Таблица5[[#Headers],[Цена КП]],'WV 4.0'!$A:$N,ROW('WV 4.0'!55:55),0),0),"")</f>
        <v>0</v>
      </c>
      <c r="G66" s="27">
        <f>IFERROR(Таблица5[[#This Row],[Цена КП]]*Таблица5[[#This Row],[Кол-во]],"")</f>
        <v>0</v>
      </c>
      <c r="H66" s="42">
        <f>IFERROR(HLOOKUP(Таблица5[[#Headers],[Комментарии]],'WV 4.0'!$A:$N,ROW('WV 4.0'!55:55),0),"")</f>
        <v>0</v>
      </c>
      <c r="I66" s="42">
        <f>IFERROR(HLOOKUP(Таблица5[[#Headers],[Срок поставки]],'WV 4.0'!$A:$N,ROW('WV 4.0'!55:55),0),"")</f>
        <v>0</v>
      </c>
      <c r="J66" s="27" t="str">
        <f>IFERROR(HLOOKUP(Таблица5[[#Headers],[Цена КазНИИСА]],'WV 4.0'!$A:$N,ROW('WV 4.0'!55:55),0),"")</f>
        <v/>
      </c>
      <c r="K66" s="27" t="str">
        <f>IFERROR(HLOOKUP(Таблица5[[#Headers],[Сумма КазНИИСА]],'WV 4.0'!$A:$N,ROW('WV 4.0'!55:55),0),"")</f>
        <v/>
      </c>
      <c r="L66" s="27">
        <f>IFERROR(HLOOKUP(Таблица5[[#Headers],[Код КазНИИСА]],'WV 4.0'!$A:$N,ROW('WV 4.0'!55:55),0),"")</f>
        <v>0</v>
      </c>
      <c r="M66" s="27" t="str">
        <f>IFERROR(HLOOKUP(Таблица5[[#Headers],[РРЦ в тнг]],'WV 4.0'!$A:$N,ROW('WV 4.0'!55:55),0),"")</f>
        <v/>
      </c>
      <c r="N66" s="27" t="str">
        <f>IFERROR(HLOOKUP(Таблица5[[#Headers],[Сумма РРЦ]],'WV 4.0'!$A:$N,ROW('WV 4.0'!55:55),0),"")</f>
        <v/>
      </c>
    </row>
    <row r="67" spans="1:14" x14ac:dyDescent="0.25">
      <c r="A67" s="29">
        <f>IFERROR('WV 4.0'!A56, " ")</f>
        <v>0</v>
      </c>
      <c r="B67" s="29">
        <f>IFERROR('WV 4.0'!B56, " ")</f>
        <v>0</v>
      </c>
      <c r="C67" s="29">
        <f>IFERROR('WV 4.0'!C56, " ")</f>
        <v>0</v>
      </c>
      <c r="D67" s="29">
        <f>IFERROR('WV 4.0'!D56, " ")</f>
        <v>0</v>
      </c>
      <c r="E67" s="29">
        <f>IFERROR('WV 4.0'!E56, " ")</f>
        <v>0</v>
      </c>
      <c r="F67" s="27">
        <f>IFERROR(ROUND(HLOOKUP(Таблица5[[#Headers],[Цена КП]],'WV 4.0'!$A:$N,ROW('WV 4.0'!56:56),0),0),"")</f>
        <v>0</v>
      </c>
      <c r="G67" s="27">
        <f>IFERROR(Таблица5[[#This Row],[Цена КП]]*Таблица5[[#This Row],[Кол-во]],"")</f>
        <v>0</v>
      </c>
      <c r="H67" s="42">
        <f>IFERROR(HLOOKUP(Таблица5[[#Headers],[Комментарии]],'WV 4.0'!$A:$N,ROW('WV 4.0'!56:56),0),"")</f>
        <v>0</v>
      </c>
      <c r="I67" s="42">
        <f>IFERROR(HLOOKUP(Таблица5[[#Headers],[Срок поставки]],'WV 4.0'!$A:$N,ROW('WV 4.0'!56:56),0),"")</f>
        <v>0</v>
      </c>
      <c r="J67" s="27" t="str">
        <f>IFERROR(HLOOKUP(Таблица5[[#Headers],[Цена КазНИИСА]],'WV 4.0'!$A:$N,ROW('WV 4.0'!56:56),0),"")</f>
        <v/>
      </c>
      <c r="K67" s="27" t="str">
        <f>IFERROR(HLOOKUP(Таблица5[[#Headers],[Сумма КазНИИСА]],'WV 4.0'!$A:$N,ROW('WV 4.0'!56:56),0),"")</f>
        <v/>
      </c>
      <c r="L67" s="27">
        <f>IFERROR(HLOOKUP(Таблица5[[#Headers],[Код КазНИИСА]],'WV 4.0'!$A:$N,ROW('WV 4.0'!56:56),0),"")</f>
        <v>0</v>
      </c>
      <c r="M67" s="27" t="str">
        <f>IFERROR(HLOOKUP(Таблица5[[#Headers],[РРЦ в тнг]],'WV 4.0'!$A:$N,ROW('WV 4.0'!56:56),0),"")</f>
        <v/>
      </c>
      <c r="N67" s="27" t="str">
        <f>IFERROR(HLOOKUP(Таблица5[[#Headers],[Сумма РРЦ]],'WV 4.0'!$A:$N,ROW('WV 4.0'!56:56),0),"")</f>
        <v/>
      </c>
    </row>
    <row r="68" spans="1:14" x14ac:dyDescent="0.25">
      <c r="A68" s="29">
        <f>IFERROR('WV 4.0'!A57, " ")</f>
        <v>0</v>
      </c>
      <c r="B68" s="29">
        <f>IFERROR('WV 4.0'!B57, " ")</f>
        <v>0</v>
      </c>
      <c r="C68" s="29">
        <f>IFERROR('WV 4.0'!C57, " ")</f>
        <v>0</v>
      </c>
      <c r="D68" s="29">
        <f>IFERROR('WV 4.0'!D57, " ")</f>
        <v>0</v>
      </c>
      <c r="E68" s="29">
        <f>IFERROR('WV 4.0'!E57, " ")</f>
        <v>0</v>
      </c>
      <c r="F68" s="27">
        <f>IFERROR(ROUND(HLOOKUP(Таблица5[[#Headers],[Цена КП]],'WV 4.0'!$A:$N,ROW('WV 4.0'!57:57),0),0),"")</f>
        <v>0</v>
      </c>
      <c r="G68" s="27">
        <f>IFERROR(Таблица5[[#This Row],[Цена КП]]*Таблица5[[#This Row],[Кол-во]],"")</f>
        <v>0</v>
      </c>
      <c r="H68" s="42">
        <f>IFERROR(HLOOKUP(Таблица5[[#Headers],[Комментарии]],'WV 4.0'!$A:$N,ROW('WV 4.0'!57:57),0),"")</f>
        <v>0</v>
      </c>
      <c r="I68" s="42">
        <f>IFERROR(HLOOKUP(Таблица5[[#Headers],[Срок поставки]],'WV 4.0'!$A:$N,ROW('WV 4.0'!57:57),0),"")</f>
        <v>0</v>
      </c>
      <c r="J68" s="27" t="str">
        <f>IFERROR(HLOOKUP(Таблица5[[#Headers],[Цена КазНИИСА]],'WV 4.0'!$A:$N,ROW('WV 4.0'!57:57),0),"")</f>
        <v/>
      </c>
      <c r="K68" s="27" t="str">
        <f>IFERROR(HLOOKUP(Таблица5[[#Headers],[Сумма КазНИИСА]],'WV 4.0'!$A:$N,ROW('WV 4.0'!57:57),0),"")</f>
        <v/>
      </c>
      <c r="L68" s="27">
        <f>IFERROR(HLOOKUP(Таблица5[[#Headers],[Код КазНИИСА]],'WV 4.0'!$A:$N,ROW('WV 4.0'!57:57),0),"")</f>
        <v>0</v>
      </c>
      <c r="M68" s="27" t="str">
        <f>IFERROR(HLOOKUP(Таблица5[[#Headers],[РРЦ в тнг]],'WV 4.0'!$A:$N,ROW('WV 4.0'!57:57),0),"")</f>
        <v/>
      </c>
      <c r="N68" s="27" t="str">
        <f>IFERROR(HLOOKUP(Таблица5[[#Headers],[Сумма РРЦ]],'WV 4.0'!$A:$N,ROW('WV 4.0'!57:57),0),"")</f>
        <v/>
      </c>
    </row>
    <row r="69" spans="1:14" x14ac:dyDescent="0.25">
      <c r="A69" s="29">
        <f>IFERROR('WV 4.0'!A58, " ")</f>
        <v>0</v>
      </c>
      <c r="B69" s="29">
        <f>IFERROR('WV 4.0'!B58, " ")</f>
        <v>0</v>
      </c>
      <c r="C69" s="29">
        <f>IFERROR('WV 4.0'!C58, " ")</f>
        <v>0</v>
      </c>
      <c r="D69" s="29">
        <f>IFERROR('WV 4.0'!D58, " ")</f>
        <v>0</v>
      </c>
      <c r="E69" s="29">
        <f>IFERROR('WV 4.0'!E58, " ")</f>
        <v>0</v>
      </c>
      <c r="F69" s="27">
        <f>IFERROR(ROUND(HLOOKUP(Таблица5[[#Headers],[Цена КП]],'WV 4.0'!$A:$N,ROW('WV 4.0'!58:58),0),0),"")</f>
        <v>0</v>
      </c>
      <c r="G69" s="27">
        <f>IFERROR(Таблица5[[#This Row],[Цена КП]]*Таблица5[[#This Row],[Кол-во]],"")</f>
        <v>0</v>
      </c>
      <c r="H69" s="42">
        <f>IFERROR(HLOOKUP(Таблица5[[#Headers],[Комментарии]],'WV 4.0'!$A:$N,ROW('WV 4.0'!58:58),0),"")</f>
        <v>0</v>
      </c>
      <c r="I69" s="42">
        <f>IFERROR(HLOOKUP(Таблица5[[#Headers],[Срок поставки]],'WV 4.0'!$A:$N,ROW('WV 4.0'!58:58),0),"")</f>
        <v>0</v>
      </c>
      <c r="J69" s="27" t="str">
        <f>IFERROR(HLOOKUP(Таблица5[[#Headers],[Цена КазНИИСА]],'WV 4.0'!$A:$N,ROW('WV 4.0'!58:58),0),"")</f>
        <v/>
      </c>
      <c r="K69" s="27" t="str">
        <f>IFERROR(HLOOKUP(Таблица5[[#Headers],[Сумма КазНИИСА]],'WV 4.0'!$A:$N,ROW('WV 4.0'!58:58),0),"")</f>
        <v/>
      </c>
      <c r="L69" s="27">
        <f>IFERROR(HLOOKUP(Таблица5[[#Headers],[Код КазНИИСА]],'WV 4.0'!$A:$N,ROW('WV 4.0'!58:58),0),"")</f>
        <v>0</v>
      </c>
      <c r="M69" s="27" t="str">
        <f>IFERROR(HLOOKUP(Таблица5[[#Headers],[РРЦ в тнг]],'WV 4.0'!$A:$N,ROW('WV 4.0'!58:58),0),"")</f>
        <v/>
      </c>
      <c r="N69" s="27" t="str">
        <f>IFERROR(HLOOKUP(Таблица5[[#Headers],[Сумма РРЦ]],'WV 4.0'!$A:$N,ROW('WV 4.0'!58:58),0),"")</f>
        <v/>
      </c>
    </row>
    <row r="70" spans="1:14" x14ac:dyDescent="0.25">
      <c r="A70" s="29">
        <f>IFERROR('WV 4.0'!A59, " ")</f>
        <v>0</v>
      </c>
      <c r="B70" s="29">
        <f>IFERROR('WV 4.0'!B59, " ")</f>
        <v>0</v>
      </c>
      <c r="C70" s="29">
        <f>IFERROR('WV 4.0'!C59, " ")</f>
        <v>0</v>
      </c>
      <c r="D70" s="29">
        <f>IFERROR('WV 4.0'!D59, " ")</f>
        <v>0</v>
      </c>
      <c r="E70" s="29">
        <f>IFERROR('WV 4.0'!E59, " ")</f>
        <v>0</v>
      </c>
      <c r="F70" s="27">
        <f>IFERROR(ROUND(HLOOKUP(Таблица5[[#Headers],[Цена КП]],'WV 4.0'!$A:$N,ROW('WV 4.0'!59:59),0),0),"")</f>
        <v>0</v>
      </c>
      <c r="G70" s="27">
        <f>IFERROR(Таблица5[[#This Row],[Цена КП]]*Таблица5[[#This Row],[Кол-во]],"")</f>
        <v>0</v>
      </c>
      <c r="H70" s="42">
        <f>IFERROR(HLOOKUP(Таблица5[[#Headers],[Комментарии]],'WV 4.0'!$A:$N,ROW('WV 4.0'!59:59),0),"")</f>
        <v>0</v>
      </c>
      <c r="I70" s="42">
        <f>IFERROR(HLOOKUP(Таблица5[[#Headers],[Срок поставки]],'WV 4.0'!$A:$N,ROW('WV 4.0'!59:59),0),"")</f>
        <v>0</v>
      </c>
      <c r="J70" s="27" t="str">
        <f>IFERROR(HLOOKUP(Таблица5[[#Headers],[Цена КазНИИСА]],'WV 4.0'!$A:$N,ROW('WV 4.0'!59:59),0),"")</f>
        <v/>
      </c>
      <c r="K70" s="27" t="str">
        <f>IFERROR(HLOOKUP(Таблица5[[#Headers],[Сумма КазНИИСА]],'WV 4.0'!$A:$N,ROW('WV 4.0'!59:59),0),"")</f>
        <v/>
      </c>
      <c r="L70" s="27">
        <f>IFERROR(HLOOKUP(Таблица5[[#Headers],[Код КазНИИСА]],'WV 4.0'!$A:$N,ROW('WV 4.0'!59:59),0),"")</f>
        <v>0</v>
      </c>
      <c r="M70" s="27" t="str">
        <f>IFERROR(HLOOKUP(Таблица5[[#Headers],[РРЦ в тнг]],'WV 4.0'!$A:$N,ROW('WV 4.0'!59:59),0),"")</f>
        <v/>
      </c>
      <c r="N70" s="27" t="str">
        <f>IFERROR(HLOOKUP(Таблица5[[#Headers],[Сумма РРЦ]],'WV 4.0'!$A:$N,ROW('WV 4.0'!59:59),0),"")</f>
        <v/>
      </c>
    </row>
    <row r="71" spans="1:14" x14ac:dyDescent="0.25">
      <c r="A71" s="29">
        <f>IFERROR('WV 4.0'!A60, " ")</f>
        <v>0</v>
      </c>
      <c r="B71" s="29">
        <f>IFERROR('WV 4.0'!B60, " ")</f>
        <v>0</v>
      </c>
      <c r="C71" s="29">
        <f>IFERROR('WV 4.0'!C60, " ")</f>
        <v>0</v>
      </c>
      <c r="D71" s="29">
        <f>IFERROR('WV 4.0'!D60, " ")</f>
        <v>0</v>
      </c>
      <c r="E71" s="29">
        <f>IFERROR('WV 4.0'!E60, " ")</f>
        <v>0</v>
      </c>
      <c r="F71" s="27">
        <f>IFERROR(ROUND(HLOOKUP(Таблица5[[#Headers],[Цена КП]],'WV 4.0'!$A:$N,ROW('WV 4.0'!60:60),0),0),"")</f>
        <v>0</v>
      </c>
      <c r="G71" s="27">
        <f>IFERROR(Таблица5[[#This Row],[Цена КП]]*Таблица5[[#This Row],[Кол-во]],"")</f>
        <v>0</v>
      </c>
      <c r="H71" s="42">
        <f>IFERROR(HLOOKUP(Таблица5[[#Headers],[Комментарии]],'WV 4.0'!$A:$N,ROW('WV 4.0'!60:60),0),"")</f>
        <v>0</v>
      </c>
      <c r="I71" s="42">
        <f>IFERROR(HLOOKUP(Таблица5[[#Headers],[Срок поставки]],'WV 4.0'!$A:$N,ROW('WV 4.0'!60:60),0),"")</f>
        <v>0</v>
      </c>
      <c r="J71" s="27" t="str">
        <f>IFERROR(HLOOKUP(Таблица5[[#Headers],[Цена КазНИИСА]],'WV 4.0'!$A:$N,ROW('WV 4.0'!60:60),0),"")</f>
        <v/>
      </c>
      <c r="K71" s="27" t="str">
        <f>IFERROR(HLOOKUP(Таблица5[[#Headers],[Сумма КазНИИСА]],'WV 4.0'!$A:$N,ROW('WV 4.0'!60:60),0),"")</f>
        <v/>
      </c>
      <c r="L71" s="27">
        <f>IFERROR(HLOOKUP(Таблица5[[#Headers],[Код КазНИИСА]],'WV 4.0'!$A:$N,ROW('WV 4.0'!60:60),0),"")</f>
        <v>0</v>
      </c>
      <c r="M71" s="27" t="str">
        <f>IFERROR(HLOOKUP(Таблица5[[#Headers],[РРЦ в тнг]],'WV 4.0'!$A:$N,ROW('WV 4.0'!60:60),0),"")</f>
        <v/>
      </c>
      <c r="N71" s="27" t="str">
        <f>IFERROR(HLOOKUP(Таблица5[[#Headers],[Сумма РРЦ]],'WV 4.0'!$A:$N,ROW('WV 4.0'!60:60),0),"")</f>
        <v/>
      </c>
    </row>
    <row r="72" spans="1:14" x14ac:dyDescent="0.25">
      <c r="A72" s="29">
        <f>IFERROR('WV 4.0'!A61, " ")</f>
        <v>0</v>
      </c>
      <c r="B72" s="29">
        <f>IFERROR('WV 4.0'!B61, " ")</f>
        <v>0</v>
      </c>
      <c r="C72" s="29">
        <f>IFERROR('WV 4.0'!C61, " ")</f>
        <v>0</v>
      </c>
      <c r="D72" s="29">
        <f>IFERROR('WV 4.0'!D61, " ")</f>
        <v>0</v>
      </c>
      <c r="E72" s="29">
        <f>IFERROR('WV 4.0'!E61, " ")</f>
        <v>0</v>
      </c>
      <c r="F72" s="27">
        <f>IFERROR(ROUND(HLOOKUP(Таблица5[[#Headers],[Цена КП]],'WV 4.0'!$A:$N,ROW('WV 4.0'!61:61),0),0),"")</f>
        <v>0</v>
      </c>
      <c r="G72" s="27">
        <f>IFERROR(Таблица5[[#This Row],[Цена КП]]*Таблица5[[#This Row],[Кол-во]],"")</f>
        <v>0</v>
      </c>
      <c r="H72" s="42">
        <f>IFERROR(HLOOKUP(Таблица5[[#Headers],[Комментарии]],'WV 4.0'!$A:$N,ROW('WV 4.0'!61:61),0),"")</f>
        <v>0</v>
      </c>
      <c r="I72" s="42">
        <f>IFERROR(HLOOKUP(Таблица5[[#Headers],[Срок поставки]],'WV 4.0'!$A:$N,ROW('WV 4.0'!61:61),0),"")</f>
        <v>0</v>
      </c>
      <c r="J72" s="27" t="str">
        <f>IFERROR(HLOOKUP(Таблица5[[#Headers],[Цена КазНИИСА]],'WV 4.0'!$A:$N,ROW('WV 4.0'!61:61),0),"")</f>
        <v/>
      </c>
      <c r="K72" s="27" t="str">
        <f>IFERROR(HLOOKUP(Таблица5[[#Headers],[Сумма КазНИИСА]],'WV 4.0'!$A:$N,ROW('WV 4.0'!61:61),0),"")</f>
        <v/>
      </c>
      <c r="L72" s="27">
        <f>IFERROR(HLOOKUP(Таблица5[[#Headers],[Код КазНИИСА]],'WV 4.0'!$A:$N,ROW('WV 4.0'!61:61),0),"")</f>
        <v>0</v>
      </c>
      <c r="M72" s="27" t="str">
        <f>IFERROR(HLOOKUP(Таблица5[[#Headers],[РРЦ в тнг]],'WV 4.0'!$A:$N,ROW('WV 4.0'!61:61),0),"")</f>
        <v/>
      </c>
      <c r="N72" s="27" t="str">
        <f>IFERROR(HLOOKUP(Таблица5[[#Headers],[Сумма РРЦ]],'WV 4.0'!$A:$N,ROW('WV 4.0'!61:61),0),"")</f>
        <v/>
      </c>
    </row>
    <row r="73" spans="1:14" x14ac:dyDescent="0.25">
      <c r="A73" s="29">
        <f>IFERROR('WV 4.0'!A62, " ")</f>
        <v>0</v>
      </c>
      <c r="B73" s="29">
        <f>IFERROR('WV 4.0'!B62, " ")</f>
        <v>0</v>
      </c>
      <c r="C73" s="29">
        <f>IFERROR('WV 4.0'!C62, " ")</f>
        <v>0</v>
      </c>
      <c r="D73" s="29">
        <f>IFERROR('WV 4.0'!D62, " ")</f>
        <v>0</v>
      </c>
      <c r="E73" s="29">
        <f>IFERROR('WV 4.0'!E62, " ")</f>
        <v>0</v>
      </c>
      <c r="F73" s="27">
        <f>IFERROR(ROUND(HLOOKUP(Таблица5[[#Headers],[Цена КП]],'WV 4.0'!$A:$N,ROW('WV 4.0'!62:62),0),0),"")</f>
        <v>0</v>
      </c>
      <c r="G73" s="27">
        <f>IFERROR(Таблица5[[#This Row],[Цена КП]]*Таблица5[[#This Row],[Кол-во]],"")</f>
        <v>0</v>
      </c>
      <c r="H73" s="42">
        <f>IFERROR(HLOOKUP(Таблица5[[#Headers],[Комментарии]],'WV 4.0'!$A:$N,ROW('WV 4.0'!62:62),0),"")</f>
        <v>0</v>
      </c>
      <c r="I73" s="42">
        <f>IFERROR(HLOOKUP(Таблица5[[#Headers],[Срок поставки]],'WV 4.0'!$A:$N,ROW('WV 4.0'!62:62),0),"")</f>
        <v>0</v>
      </c>
      <c r="J73" s="27" t="str">
        <f>IFERROR(HLOOKUP(Таблица5[[#Headers],[Цена КазНИИСА]],'WV 4.0'!$A:$N,ROW('WV 4.0'!62:62),0),"")</f>
        <v/>
      </c>
      <c r="K73" s="27" t="str">
        <f>IFERROR(HLOOKUP(Таблица5[[#Headers],[Сумма КазНИИСА]],'WV 4.0'!$A:$N,ROW('WV 4.0'!62:62),0),"")</f>
        <v/>
      </c>
      <c r="L73" s="27">
        <f>IFERROR(HLOOKUP(Таблица5[[#Headers],[Код КазНИИСА]],'WV 4.0'!$A:$N,ROW('WV 4.0'!62:62),0),"")</f>
        <v>0</v>
      </c>
      <c r="M73" s="27" t="str">
        <f>IFERROR(HLOOKUP(Таблица5[[#Headers],[РРЦ в тнг]],'WV 4.0'!$A:$N,ROW('WV 4.0'!62:62),0),"")</f>
        <v/>
      </c>
      <c r="N73" s="27" t="str">
        <f>IFERROR(HLOOKUP(Таблица5[[#Headers],[Сумма РРЦ]],'WV 4.0'!$A:$N,ROW('WV 4.0'!62:62),0),"")</f>
        <v/>
      </c>
    </row>
    <row r="74" spans="1:14" x14ac:dyDescent="0.25">
      <c r="A74" s="29">
        <f>IFERROR('WV 4.0'!A63, " ")</f>
        <v>0</v>
      </c>
      <c r="B74" s="29">
        <f>IFERROR('WV 4.0'!B63, " ")</f>
        <v>0</v>
      </c>
      <c r="C74" s="29">
        <f>IFERROR('WV 4.0'!C63, " ")</f>
        <v>0</v>
      </c>
      <c r="D74" s="29">
        <f>IFERROR('WV 4.0'!D63, " ")</f>
        <v>0</v>
      </c>
      <c r="E74" s="29">
        <f>IFERROR('WV 4.0'!E63, " ")</f>
        <v>0</v>
      </c>
      <c r="F74" s="27">
        <f>IFERROR(ROUND(HLOOKUP(Таблица5[[#Headers],[Цена КП]],'WV 4.0'!$A:$N,ROW('WV 4.0'!63:63),0),0),"")</f>
        <v>0</v>
      </c>
      <c r="G74" s="27">
        <f>IFERROR(Таблица5[[#This Row],[Цена КП]]*Таблица5[[#This Row],[Кол-во]],"")</f>
        <v>0</v>
      </c>
      <c r="H74" s="42">
        <f>IFERROR(HLOOKUP(Таблица5[[#Headers],[Комментарии]],'WV 4.0'!$A:$N,ROW('WV 4.0'!63:63),0),"")</f>
        <v>0</v>
      </c>
      <c r="I74" s="42">
        <f>IFERROR(HLOOKUP(Таблица5[[#Headers],[Срок поставки]],'WV 4.0'!$A:$N,ROW('WV 4.0'!63:63),0),"")</f>
        <v>0</v>
      </c>
      <c r="J74" s="27" t="str">
        <f>IFERROR(HLOOKUP(Таблица5[[#Headers],[Цена КазНИИСА]],'WV 4.0'!$A:$N,ROW('WV 4.0'!63:63),0),"")</f>
        <v/>
      </c>
      <c r="K74" s="27" t="str">
        <f>IFERROR(HLOOKUP(Таблица5[[#Headers],[Сумма КазНИИСА]],'WV 4.0'!$A:$N,ROW('WV 4.0'!63:63),0),"")</f>
        <v/>
      </c>
      <c r="L74" s="27">
        <f>IFERROR(HLOOKUP(Таблица5[[#Headers],[Код КазНИИСА]],'WV 4.0'!$A:$N,ROW('WV 4.0'!63:63),0),"")</f>
        <v>0</v>
      </c>
      <c r="M74" s="27" t="str">
        <f>IFERROR(HLOOKUP(Таблица5[[#Headers],[РРЦ в тнг]],'WV 4.0'!$A:$N,ROW('WV 4.0'!63:63),0),"")</f>
        <v/>
      </c>
      <c r="N74" s="27" t="str">
        <f>IFERROR(HLOOKUP(Таблица5[[#Headers],[Сумма РРЦ]],'WV 4.0'!$A:$N,ROW('WV 4.0'!63:63),0),"")</f>
        <v/>
      </c>
    </row>
    <row r="75" spans="1:14" x14ac:dyDescent="0.25">
      <c r="A75" s="29">
        <f>IFERROR('WV 4.0'!A64, " ")</f>
        <v>0</v>
      </c>
      <c r="B75" s="29">
        <f>IFERROR('WV 4.0'!B64, " ")</f>
        <v>0</v>
      </c>
      <c r="C75" s="29">
        <f>IFERROR('WV 4.0'!C64, " ")</f>
        <v>0</v>
      </c>
      <c r="D75" s="29">
        <f>IFERROR('WV 4.0'!D64, " ")</f>
        <v>0</v>
      </c>
      <c r="E75" s="29">
        <f>IFERROR('WV 4.0'!E64, " ")</f>
        <v>0</v>
      </c>
      <c r="F75" s="27">
        <f>IFERROR(ROUND(HLOOKUP(Таблица5[[#Headers],[Цена КП]],'WV 4.0'!$A:$N,ROW('WV 4.0'!64:64),0),0),"")</f>
        <v>0</v>
      </c>
      <c r="G75" s="27">
        <f>IFERROR(Таблица5[[#This Row],[Цена КП]]*Таблица5[[#This Row],[Кол-во]],"")</f>
        <v>0</v>
      </c>
      <c r="H75" s="42">
        <f>IFERROR(HLOOKUP(Таблица5[[#Headers],[Комментарии]],'WV 4.0'!$A:$N,ROW('WV 4.0'!64:64),0),"")</f>
        <v>0</v>
      </c>
      <c r="I75" s="42">
        <f>IFERROR(HLOOKUP(Таблица5[[#Headers],[Срок поставки]],'WV 4.0'!$A:$N,ROW('WV 4.0'!64:64),0),"")</f>
        <v>0</v>
      </c>
      <c r="J75" s="27" t="str">
        <f>IFERROR(HLOOKUP(Таблица5[[#Headers],[Цена КазНИИСА]],'WV 4.0'!$A:$N,ROW('WV 4.0'!64:64),0),"")</f>
        <v/>
      </c>
      <c r="K75" s="27" t="str">
        <f>IFERROR(HLOOKUP(Таблица5[[#Headers],[Сумма КазНИИСА]],'WV 4.0'!$A:$N,ROW('WV 4.0'!64:64),0),"")</f>
        <v/>
      </c>
      <c r="L75" s="27">
        <f>IFERROR(HLOOKUP(Таблица5[[#Headers],[Код КазНИИСА]],'WV 4.0'!$A:$N,ROW('WV 4.0'!64:64),0),"")</f>
        <v>0</v>
      </c>
      <c r="M75" s="27" t="str">
        <f>IFERROR(HLOOKUP(Таблица5[[#Headers],[РРЦ в тнг]],'WV 4.0'!$A:$N,ROW('WV 4.0'!64:64),0),"")</f>
        <v/>
      </c>
      <c r="N75" s="27" t="str">
        <f>IFERROR(HLOOKUP(Таблица5[[#Headers],[Сумма РРЦ]],'WV 4.0'!$A:$N,ROW('WV 4.0'!64:64),0),"")</f>
        <v/>
      </c>
    </row>
    <row r="76" spans="1:14" x14ac:dyDescent="0.25">
      <c r="A76" s="29">
        <f>IFERROR('WV 4.0'!A65, " ")</f>
        <v>0</v>
      </c>
      <c r="B76" s="29">
        <f>IFERROR('WV 4.0'!B65, " ")</f>
        <v>0</v>
      </c>
      <c r="C76" s="29">
        <f>IFERROR('WV 4.0'!C65, " ")</f>
        <v>0</v>
      </c>
      <c r="D76" s="29">
        <f>IFERROR('WV 4.0'!D65, " ")</f>
        <v>0</v>
      </c>
      <c r="E76" s="29">
        <f>IFERROR('WV 4.0'!E65, " ")</f>
        <v>0</v>
      </c>
      <c r="F76" s="27">
        <f>IFERROR(ROUND(HLOOKUP(Таблица5[[#Headers],[Цена КП]],'WV 4.0'!$A:$N,ROW('WV 4.0'!65:65),0),0),"")</f>
        <v>0</v>
      </c>
      <c r="G76" s="27">
        <f>IFERROR(Таблица5[[#This Row],[Цена КП]]*Таблица5[[#This Row],[Кол-во]],"")</f>
        <v>0</v>
      </c>
      <c r="H76" s="42">
        <f>IFERROR(HLOOKUP(Таблица5[[#Headers],[Комментарии]],'WV 4.0'!$A:$N,ROW('WV 4.0'!65:65),0),"")</f>
        <v>0</v>
      </c>
      <c r="I76" s="42">
        <f>IFERROR(HLOOKUP(Таблица5[[#Headers],[Срок поставки]],'WV 4.0'!$A:$N,ROW('WV 4.0'!65:65),0),"")</f>
        <v>0</v>
      </c>
      <c r="J76" s="27" t="str">
        <f>IFERROR(HLOOKUP(Таблица5[[#Headers],[Цена КазНИИСА]],'WV 4.0'!$A:$N,ROW('WV 4.0'!65:65),0),"")</f>
        <v/>
      </c>
      <c r="K76" s="27" t="str">
        <f>IFERROR(HLOOKUP(Таблица5[[#Headers],[Сумма КазНИИСА]],'WV 4.0'!$A:$N,ROW('WV 4.0'!65:65),0),"")</f>
        <v/>
      </c>
      <c r="L76" s="27">
        <f>IFERROR(HLOOKUP(Таблица5[[#Headers],[Код КазНИИСА]],'WV 4.0'!$A:$N,ROW('WV 4.0'!65:65),0),"")</f>
        <v>0</v>
      </c>
      <c r="M76" s="27" t="str">
        <f>IFERROR(HLOOKUP(Таблица5[[#Headers],[РРЦ в тнг]],'WV 4.0'!$A:$N,ROW('WV 4.0'!65:65),0),"")</f>
        <v/>
      </c>
      <c r="N76" s="27" t="str">
        <f>IFERROR(HLOOKUP(Таблица5[[#Headers],[Сумма РРЦ]],'WV 4.0'!$A:$N,ROW('WV 4.0'!65:65),0),"")</f>
        <v/>
      </c>
    </row>
    <row r="77" spans="1:14" x14ac:dyDescent="0.25">
      <c r="A77" s="29">
        <f>IFERROR('WV 4.0'!A66, " ")</f>
        <v>0</v>
      </c>
      <c r="B77" s="29">
        <f>IFERROR('WV 4.0'!B66, " ")</f>
        <v>0</v>
      </c>
      <c r="C77" s="29">
        <f>IFERROR('WV 4.0'!C66, " ")</f>
        <v>0</v>
      </c>
      <c r="D77" s="29">
        <f>IFERROR('WV 4.0'!D66, " ")</f>
        <v>0</v>
      </c>
      <c r="E77" s="29">
        <f>IFERROR('WV 4.0'!E66, " ")</f>
        <v>0</v>
      </c>
      <c r="F77" s="27">
        <f>IFERROR(ROUND(HLOOKUP(Таблица5[[#Headers],[Цена КП]],'WV 4.0'!$A:$N,ROW('WV 4.0'!66:66),0),0),"")</f>
        <v>0</v>
      </c>
      <c r="G77" s="27">
        <f>IFERROR(Таблица5[[#This Row],[Цена КП]]*Таблица5[[#This Row],[Кол-во]],"")</f>
        <v>0</v>
      </c>
      <c r="H77" s="42">
        <f>IFERROR(HLOOKUP(Таблица5[[#Headers],[Комментарии]],'WV 4.0'!$A:$N,ROW('WV 4.0'!66:66),0),"")</f>
        <v>0</v>
      </c>
      <c r="I77" s="42">
        <f>IFERROR(HLOOKUP(Таблица5[[#Headers],[Срок поставки]],'WV 4.0'!$A:$N,ROW('WV 4.0'!66:66),0),"")</f>
        <v>0</v>
      </c>
      <c r="J77" s="27" t="str">
        <f>IFERROR(HLOOKUP(Таблица5[[#Headers],[Цена КазНИИСА]],'WV 4.0'!$A:$N,ROW('WV 4.0'!66:66),0),"")</f>
        <v/>
      </c>
      <c r="K77" s="27" t="str">
        <f>IFERROR(HLOOKUP(Таблица5[[#Headers],[Сумма КазНИИСА]],'WV 4.0'!$A:$N,ROW('WV 4.0'!66:66),0),"")</f>
        <v/>
      </c>
      <c r="L77" s="27">
        <f>IFERROR(HLOOKUP(Таблица5[[#Headers],[Код КазНИИСА]],'WV 4.0'!$A:$N,ROW('WV 4.0'!66:66),0),"")</f>
        <v>0</v>
      </c>
      <c r="M77" s="27" t="str">
        <f>IFERROR(HLOOKUP(Таблица5[[#Headers],[РРЦ в тнг]],'WV 4.0'!$A:$N,ROW('WV 4.0'!66:66),0),"")</f>
        <v/>
      </c>
      <c r="N77" s="27" t="str">
        <f>IFERROR(HLOOKUP(Таблица5[[#Headers],[Сумма РРЦ]],'WV 4.0'!$A:$N,ROW('WV 4.0'!66:66),0),"")</f>
        <v/>
      </c>
    </row>
    <row r="78" spans="1:14" x14ac:dyDescent="0.25">
      <c r="A78" s="29">
        <f>IFERROR('WV 4.0'!A67, " ")</f>
        <v>0</v>
      </c>
      <c r="B78" s="29">
        <f>IFERROR('WV 4.0'!B67, " ")</f>
        <v>0</v>
      </c>
      <c r="C78" s="29">
        <f>IFERROR('WV 4.0'!C67, " ")</f>
        <v>0</v>
      </c>
      <c r="D78" s="29">
        <f>IFERROR('WV 4.0'!D67, " ")</f>
        <v>0</v>
      </c>
      <c r="E78" s="29">
        <f>IFERROR('WV 4.0'!E67, " ")</f>
        <v>0</v>
      </c>
      <c r="F78" s="27">
        <f>IFERROR(ROUND(HLOOKUP(Таблица5[[#Headers],[Цена КП]],'WV 4.0'!$A:$N,ROW('WV 4.0'!67:67),0),0),"")</f>
        <v>0</v>
      </c>
      <c r="G78" s="27">
        <f>IFERROR(Таблица5[[#This Row],[Цена КП]]*Таблица5[[#This Row],[Кол-во]],"")</f>
        <v>0</v>
      </c>
      <c r="H78" s="42">
        <f>IFERROR(HLOOKUP(Таблица5[[#Headers],[Комментарии]],'WV 4.0'!$A:$N,ROW('WV 4.0'!67:67),0),"")</f>
        <v>0</v>
      </c>
      <c r="I78" s="42">
        <f>IFERROR(HLOOKUP(Таблица5[[#Headers],[Срок поставки]],'WV 4.0'!$A:$N,ROW('WV 4.0'!67:67),0),"")</f>
        <v>0</v>
      </c>
      <c r="J78" s="27" t="str">
        <f>IFERROR(HLOOKUP(Таблица5[[#Headers],[Цена КазНИИСА]],'WV 4.0'!$A:$N,ROW('WV 4.0'!67:67),0),"")</f>
        <v/>
      </c>
      <c r="K78" s="27" t="str">
        <f>IFERROR(HLOOKUP(Таблица5[[#Headers],[Сумма КазНИИСА]],'WV 4.0'!$A:$N,ROW('WV 4.0'!67:67),0),"")</f>
        <v/>
      </c>
      <c r="L78" s="27">
        <f>IFERROR(HLOOKUP(Таблица5[[#Headers],[Код КазНИИСА]],'WV 4.0'!$A:$N,ROW('WV 4.0'!67:67),0),"")</f>
        <v>0</v>
      </c>
      <c r="M78" s="27" t="str">
        <f>IFERROR(HLOOKUP(Таблица5[[#Headers],[РРЦ в тнг]],'WV 4.0'!$A:$N,ROW('WV 4.0'!67:67),0),"")</f>
        <v/>
      </c>
      <c r="N78" s="27" t="str">
        <f>IFERROR(HLOOKUP(Таблица5[[#Headers],[Сумма РРЦ]],'WV 4.0'!$A:$N,ROW('WV 4.0'!67:67),0),"")</f>
        <v/>
      </c>
    </row>
    <row r="79" spans="1:14" x14ac:dyDescent="0.25">
      <c r="A79" s="29">
        <f>IFERROR('WV 4.0'!A68, " ")</f>
        <v>0</v>
      </c>
      <c r="B79" s="29">
        <f>IFERROR('WV 4.0'!B68, " ")</f>
        <v>0</v>
      </c>
      <c r="C79" s="29">
        <f>IFERROR('WV 4.0'!C68, " ")</f>
        <v>0</v>
      </c>
      <c r="D79" s="29">
        <f>IFERROR('WV 4.0'!D68, " ")</f>
        <v>0</v>
      </c>
      <c r="E79" s="29">
        <f>IFERROR('WV 4.0'!E68, " ")</f>
        <v>0</v>
      </c>
      <c r="F79" s="27">
        <f>IFERROR(ROUND(HLOOKUP(Таблица5[[#Headers],[Цена КП]],'WV 4.0'!$A:$N,ROW('WV 4.0'!68:68),0),0),"")</f>
        <v>0</v>
      </c>
      <c r="G79" s="27">
        <f>IFERROR(Таблица5[[#This Row],[Цена КП]]*Таблица5[[#This Row],[Кол-во]],"")</f>
        <v>0</v>
      </c>
      <c r="H79" s="42">
        <f>IFERROR(HLOOKUP(Таблица5[[#Headers],[Комментарии]],'WV 4.0'!$A:$N,ROW('WV 4.0'!68:68),0),"")</f>
        <v>0</v>
      </c>
      <c r="I79" s="42">
        <f>IFERROR(HLOOKUP(Таблица5[[#Headers],[Срок поставки]],'WV 4.0'!$A:$N,ROW('WV 4.0'!68:68),0),"")</f>
        <v>0</v>
      </c>
      <c r="J79" s="27" t="str">
        <f>IFERROR(HLOOKUP(Таблица5[[#Headers],[Цена КазНИИСА]],'WV 4.0'!$A:$N,ROW('WV 4.0'!68:68),0),"")</f>
        <v/>
      </c>
      <c r="K79" s="27" t="str">
        <f>IFERROR(HLOOKUP(Таблица5[[#Headers],[Сумма КазНИИСА]],'WV 4.0'!$A:$N,ROW('WV 4.0'!68:68),0),"")</f>
        <v/>
      </c>
      <c r="L79" s="27">
        <f>IFERROR(HLOOKUP(Таблица5[[#Headers],[Код КазНИИСА]],'WV 4.0'!$A:$N,ROW('WV 4.0'!68:68),0),"")</f>
        <v>0</v>
      </c>
      <c r="M79" s="27" t="str">
        <f>IFERROR(HLOOKUP(Таблица5[[#Headers],[РРЦ в тнг]],'WV 4.0'!$A:$N,ROW('WV 4.0'!68:68),0),"")</f>
        <v/>
      </c>
      <c r="N79" s="27" t="str">
        <f>IFERROR(HLOOKUP(Таблица5[[#Headers],[Сумма РРЦ]],'WV 4.0'!$A:$N,ROW('WV 4.0'!68:68),0),"")</f>
        <v/>
      </c>
    </row>
    <row r="80" spans="1:14" x14ac:dyDescent="0.25">
      <c r="A80" s="29">
        <f>IFERROR('WV 4.0'!A69, " ")</f>
        <v>0</v>
      </c>
      <c r="B80" s="29">
        <f>IFERROR('WV 4.0'!B69, " ")</f>
        <v>0</v>
      </c>
      <c r="C80" s="29">
        <f>IFERROR('WV 4.0'!C69, " ")</f>
        <v>0</v>
      </c>
      <c r="D80" s="29">
        <f>IFERROR('WV 4.0'!D69, " ")</f>
        <v>0</v>
      </c>
      <c r="E80" s="29">
        <f>IFERROR('WV 4.0'!E69, " ")</f>
        <v>0</v>
      </c>
      <c r="F80" s="27">
        <f>IFERROR(ROUND(HLOOKUP(Таблица5[[#Headers],[Цена КП]],'WV 4.0'!$A:$N,ROW('WV 4.0'!69:69),0),0),"")</f>
        <v>0</v>
      </c>
      <c r="G80" s="27">
        <f>IFERROR(Таблица5[[#This Row],[Цена КП]]*Таблица5[[#This Row],[Кол-во]],"")</f>
        <v>0</v>
      </c>
      <c r="H80" s="42">
        <f>IFERROR(HLOOKUP(Таблица5[[#Headers],[Комментарии]],'WV 4.0'!$A:$N,ROW('WV 4.0'!69:69),0),"")</f>
        <v>0</v>
      </c>
      <c r="I80" s="42">
        <f>IFERROR(HLOOKUP(Таблица5[[#Headers],[Срок поставки]],'WV 4.0'!$A:$N,ROW('WV 4.0'!69:69),0),"")</f>
        <v>0</v>
      </c>
      <c r="J80" s="27" t="str">
        <f>IFERROR(HLOOKUP(Таблица5[[#Headers],[Цена КазНИИСА]],'WV 4.0'!$A:$N,ROW('WV 4.0'!69:69),0),"")</f>
        <v/>
      </c>
      <c r="K80" s="27" t="str">
        <f>IFERROR(HLOOKUP(Таблица5[[#Headers],[Сумма КазНИИСА]],'WV 4.0'!$A:$N,ROW('WV 4.0'!69:69),0),"")</f>
        <v/>
      </c>
      <c r="L80" s="27">
        <f>IFERROR(HLOOKUP(Таблица5[[#Headers],[Код КазНИИСА]],'WV 4.0'!$A:$N,ROW('WV 4.0'!69:69),0),"")</f>
        <v>0</v>
      </c>
      <c r="M80" s="27" t="str">
        <f>IFERROR(HLOOKUP(Таблица5[[#Headers],[РРЦ в тнг]],'WV 4.0'!$A:$N,ROW('WV 4.0'!69:69),0),"")</f>
        <v/>
      </c>
      <c r="N80" s="27" t="str">
        <f>IFERROR(HLOOKUP(Таблица5[[#Headers],[Сумма РРЦ]],'WV 4.0'!$A:$N,ROW('WV 4.0'!69:69),0),"")</f>
        <v/>
      </c>
    </row>
    <row r="81" spans="1:14" x14ac:dyDescent="0.25">
      <c r="A81" s="29">
        <f>IFERROR('WV 4.0'!A70, " ")</f>
        <v>0</v>
      </c>
      <c r="B81" s="29">
        <f>IFERROR('WV 4.0'!B70, " ")</f>
        <v>0</v>
      </c>
      <c r="C81" s="29">
        <f>IFERROR('WV 4.0'!C70, " ")</f>
        <v>0</v>
      </c>
      <c r="D81" s="29">
        <f>IFERROR('WV 4.0'!D70, " ")</f>
        <v>0</v>
      </c>
      <c r="E81" s="29">
        <f>IFERROR('WV 4.0'!E70, " ")</f>
        <v>0</v>
      </c>
      <c r="F81" s="27">
        <f>IFERROR(ROUND(HLOOKUP(Таблица5[[#Headers],[Цена КП]],'WV 4.0'!$A:$N,ROW('WV 4.0'!70:70),0),0),"")</f>
        <v>0</v>
      </c>
      <c r="G81" s="27">
        <f>IFERROR(Таблица5[[#This Row],[Цена КП]]*Таблица5[[#This Row],[Кол-во]],"")</f>
        <v>0</v>
      </c>
      <c r="H81" s="42">
        <f>IFERROR(HLOOKUP(Таблица5[[#Headers],[Комментарии]],'WV 4.0'!$A:$N,ROW('WV 4.0'!70:70),0),"")</f>
        <v>0</v>
      </c>
      <c r="I81" s="42">
        <f>IFERROR(HLOOKUP(Таблица5[[#Headers],[Срок поставки]],'WV 4.0'!$A:$N,ROW('WV 4.0'!70:70),0),"")</f>
        <v>0</v>
      </c>
      <c r="J81" s="27" t="str">
        <f>IFERROR(HLOOKUP(Таблица5[[#Headers],[Цена КазНИИСА]],'WV 4.0'!$A:$N,ROW('WV 4.0'!70:70),0),"")</f>
        <v/>
      </c>
      <c r="K81" s="27" t="str">
        <f>IFERROR(HLOOKUP(Таблица5[[#Headers],[Сумма КазНИИСА]],'WV 4.0'!$A:$N,ROW('WV 4.0'!70:70),0),"")</f>
        <v/>
      </c>
      <c r="L81" s="27">
        <f>IFERROR(HLOOKUP(Таблица5[[#Headers],[Код КазНИИСА]],'WV 4.0'!$A:$N,ROW('WV 4.0'!70:70),0),"")</f>
        <v>0</v>
      </c>
      <c r="M81" s="27" t="str">
        <f>IFERROR(HLOOKUP(Таблица5[[#Headers],[РРЦ в тнг]],'WV 4.0'!$A:$N,ROW('WV 4.0'!70:70),0),"")</f>
        <v/>
      </c>
      <c r="N81" s="27" t="str">
        <f>IFERROR(HLOOKUP(Таблица5[[#Headers],[Сумма РРЦ]],'WV 4.0'!$A:$N,ROW('WV 4.0'!70:70),0),"")</f>
        <v/>
      </c>
    </row>
    <row r="82" spans="1:14" x14ac:dyDescent="0.25">
      <c r="A82" s="29">
        <f>IFERROR('WV 4.0'!A71, " ")</f>
        <v>0</v>
      </c>
      <c r="B82" s="29">
        <f>IFERROR('WV 4.0'!B71, " ")</f>
        <v>0</v>
      </c>
      <c r="C82" s="29">
        <f>IFERROR('WV 4.0'!C71, " ")</f>
        <v>0</v>
      </c>
      <c r="D82" s="29">
        <f>IFERROR('WV 4.0'!D71, " ")</f>
        <v>0</v>
      </c>
      <c r="E82" s="29">
        <f>IFERROR('WV 4.0'!E71, " ")</f>
        <v>0</v>
      </c>
      <c r="F82" s="27">
        <f>IFERROR(ROUND(HLOOKUP(Таблица5[[#Headers],[Цена КП]],'WV 4.0'!$A:$N,ROW('WV 4.0'!71:71),0),0),"")</f>
        <v>0</v>
      </c>
      <c r="G82" s="27">
        <f>IFERROR(Таблица5[[#This Row],[Цена КП]]*Таблица5[[#This Row],[Кол-во]],"")</f>
        <v>0</v>
      </c>
      <c r="H82" s="42">
        <f>IFERROR(HLOOKUP(Таблица5[[#Headers],[Комментарии]],'WV 4.0'!$A:$N,ROW('WV 4.0'!71:71),0),"")</f>
        <v>0</v>
      </c>
      <c r="I82" s="42">
        <f>IFERROR(HLOOKUP(Таблица5[[#Headers],[Срок поставки]],'WV 4.0'!$A:$N,ROW('WV 4.0'!71:71),0),"")</f>
        <v>0</v>
      </c>
      <c r="J82" s="27" t="str">
        <f>IFERROR(HLOOKUP(Таблица5[[#Headers],[Цена КазНИИСА]],'WV 4.0'!$A:$N,ROW('WV 4.0'!71:71),0),"")</f>
        <v/>
      </c>
      <c r="K82" s="27" t="str">
        <f>IFERROR(HLOOKUP(Таблица5[[#Headers],[Сумма КазНИИСА]],'WV 4.0'!$A:$N,ROW('WV 4.0'!71:71),0),"")</f>
        <v/>
      </c>
      <c r="L82" s="27">
        <f>IFERROR(HLOOKUP(Таблица5[[#Headers],[Код КазНИИСА]],'WV 4.0'!$A:$N,ROW('WV 4.0'!71:71),0),"")</f>
        <v>0</v>
      </c>
      <c r="M82" s="27" t="str">
        <f>IFERROR(HLOOKUP(Таблица5[[#Headers],[РРЦ в тнг]],'WV 4.0'!$A:$N,ROW('WV 4.0'!71:71),0),"")</f>
        <v/>
      </c>
      <c r="N82" s="27" t="str">
        <f>IFERROR(HLOOKUP(Таблица5[[#Headers],[Сумма РРЦ]],'WV 4.0'!$A:$N,ROW('WV 4.0'!71:71),0),"")</f>
        <v/>
      </c>
    </row>
    <row r="83" spans="1:14" x14ac:dyDescent="0.25">
      <c r="A83" s="29">
        <f>IFERROR('WV 4.0'!A72, " ")</f>
        <v>0</v>
      </c>
      <c r="B83" s="29">
        <f>IFERROR('WV 4.0'!B72, " ")</f>
        <v>0</v>
      </c>
      <c r="C83" s="29">
        <f>IFERROR('WV 4.0'!C72, " ")</f>
        <v>0</v>
      </c>
      <c r="D83" s="29">
        <f>IFERROR('WV 4.0'!D72, " ")</f>
        <v>0</v>
      </c>
      <c r="E83" s="29">
        <f>IFERROR('WV 4.0'!E72, " ")</f>
        <v>0</v>
      </c>
      <c r="F83" s="27">
        <f>IFERROR(ROUND(HLOOKUP(Таблица5[[#Headers],[Цена КП]],'WV 4.0'!$A:$N,ROW('WV 4.0'!72:72),0),0),"")</f>
        <v>0</v>
      </c>
      <c r="G83" s="27">
        <f>IFERROR(Таблица5[[#This Row],[Цена КП]]*Таблица5[[#This Row],[Кол-во]],"")</f>
        <v>0</v>
      </c>
      <c r="H83" s="42">
        <f>IFERROR(HLOOKUP(Таблица5[[#Headers],[Комментарии]],'WV 4.0'!$A:$N,ROW('WV 4.0'!72:72),0),"")</f>
        <v>0</v>
      </c>
      <c r="I83" s="42">
        <f>IFERROR(HLOOKUP(Таблица5[[#Headers],[Срок поставки]],'WV 4.0'!$A:$N,ROW('WV 4.0'!72:72),0),"")</f>
        <v>0</v>
      </c>
      <c r="J83" s="27" t="str">
        <f>IFERROR(HLOOKUP(Таблица5[[#Headers],[Цена КазНИИСА]],'WV 4.0'!$A:$N,ROW('WV 4.0'!72:72),0),"")</f>
        <v/>
      </c>
      <c r="K83" s="27" t="str">
        <f>IFERROR(HLOOKUP(Таблица5[[#Headers],[Сумма КазНИИСА]],'WV 4.0'!$A:$N,ROW('WV 4.0'!72:72),0),"")</f>
        <v/>
      </c>
      <c r="L83" s="27">
        <f>IFERROR(HLOOKUP(Таблица5[[#Headers],[Код КазНИИСА]],'WV 4.0'!$A:$N,ROW('WV 4.0'!72:72),0),"")</f>
        <v>0</v>
      </c>
      <c r="M83" s="27" t="str">
        <f>IFERROR(HLOOKUP(Таблица5[[#Headers],[РРЦ в тнг]],'WV 4.0'!$A:$N,ROW('WV 4.0'!72:72),0),"")</f>
        <v/>
      </c>
      <c r="N83" s="27" t="str">
        <f>IFERROR(HLOOKUP(Таблица5[[#Headers],[Сумма РРЦ]],'WV 4.0'!$A:$N,ROW('WV 4.0'!72:72),0),"")</f>
        <v/>
      </c>
    </row>
    <row r="84" spans="1:14" x14ac:dyDescent="0.25">
      <c r="A84" s="29">
        <f>IFERROR('WV 4.0'!A73, " ")</f>
        <v>0</v>
      </c>
      <c r="B84" s="29">
        <f>IFERROR('WV 4.0'!B73, " ")</f>
        <v>0</v>
      </c>
      <c r="C84" s="29">
        <f>IFERROR('WV 4.0'!C73, " ")</f>
        <v>0</v>
      </c>
      <c r="D84" s="29">
        <f>IFERROR('WV 4.0'!D73, " ")</f>
        <v>0</v>
      </c>
      <c r="E84" s="29">
        <f>IFERROR('WV 4.0'!E73, " ")</f>
        <v>0</v>
      </c>
      <c r="F84" s="27">
        <f>IFERROR(ROUND(HLOOKUP(Таблица5[[#Headers],[Цена КП]],'WV 4.0'!$A:$N,ROW('WV 4.0'!73:73),0),0),"")</f>
        <v>0</v>
      </c>
      <c r="G84" s="27">
        <f>IFERROR(Таблица5[[#This Row],[Цена КП]]*Таблица5[[#This Row],[Кол-во]],"")</f>
        <v>0</v>
      </c>
      <c r="H84" s="42">
        <f>IFERROR(HLOOKUP(Таблица5[[#Headers],[Комментарии]],'WV 4.0'!$A:$N,ROW('WV 4.0'!73:73),0),"")</f>
        <v>0</v>
      </c>
      <c r="I84" s="42">
        <f>IFERROR(HLOOKUP(Таблица5[[#Headers],[Срок поставки]],'WV 4.0'!$A:$N,ROW('WV 4.0'!73:73),0),"")</f>
        <v>0</v>
      </c>
      <c r="J84" s="27" t="str">
        <f>IFERROR(HLOOKUP(Таблица5[[#Headers],[Цена КазНИИСА]],'WV 4.0'!$A:$N,ROW('WV 4.0'!73:73),0),"")</f>
        <v/>
      </c>
      <c r="K84" s="27" t="str">
        <f>IFERROR(HLOOKUP(Таблица5[[#Headers],[Сумма КазНИИСА]],'WV 4.0'!$A:$N,ROW('WV 4.0'!73:73),0),"")</f>
        <v/>
      </c>
      <c r="L84" s="27">
        <f>IFERROR(HLOOKUP(Таблица5[[#Headers],[Код КазНИИСА]],'WV 4.0'!$A:$N,ROW('WV 4.0'!73:73),0),"")</f>
        <v>0</v>
      </c>
      <c r="M84" s="27" t="str">
        <f>IFERROR(HLOOKUP(Таблица5[[#Headers],[РРЦ в тнг]],'WV 4.0'!$A:$N,ROW('WV 4.0'!73:73),0),"")</f>
        <v/>
      </c>
      <c r="N84" s="27" t="str">
        <f>IFERROR(HLOOKUP(Таблица5[[#Headers],[Сумма РРЦ]],'WV 4.0'!$A:$N,ROW('WV 4.0'!73:73),0),"")</f>
        <v/>
      </c>
    </row>
    <row r="85" spans="1:14" x14ac:dyDescent="0.25">
      <c r="A85" s="29">
        <f>IFERROR('WV 4.0'!A74, " ")</f>
        <v>0</v>
      </c>
      <c r="B85" s="29">
        <f>IFERROR('WV 4.0'!B74, " ")</f>
        <v>0</v>
      </c>
      <c r="C85" s="29">
        <f>IFERROR('WV 4.0'!C74, " ")</f>
        <v>0</v>
      </c>
      <c r="D85" s="29">
        <f>IFERROR('WV 4.0'!D74, " ")</f>
        <v>0</v>
      </c>
      <c r="E85" s="29">
        <f>IFERROR('WV 4.0'!E74, " ")</f>
        <v>0</v>
      </c>
      <c r="F85" s="27">
        <f>IFERROR(ROUND(HLOOKUP(Таблица5[[#Headers],[Цена КП]],'WV 4.0'!$A:$N,ROW('WV 4.0'!74:74),0),0),"")</f>
        <v>0</v>
      </c>
      <c r="G85" s="27">
        <f>IFERROR(Таблица5[[#This Row],[Цена КП]]*Таблица5[[#This Row],[Кол-во]],"")</f>
        <v>0</v>
      </c>
      <c r="H85" s="42">
        <f>IFERROR(HLOOKUP(Таблица5[[#Headers],[Комментарии]],'WV 4.0'!$A:$N,ROW('WV 4.0'!74:74),0),"")</f>
        <v>0</v>
      </c>
      <c r="I85" s="42">
        <f>IFERROR(HLOOKUP(Таблица5[[#Headers],[Срок поставки]],'WV 4.0'!$A:$N,ROW('WV 4.0'!74:74),0),"")</f>
        <v>0</v>
      </c>
      <c r="J85" s="27" t="str">
        <f>IFERROR(HLOOKUP(Таблица5[[#Headers],[Цена КазНИИСА]],'WV 4.0'!$A:$N,ROW('WV 4.0'!74:74),0),"")</f>
        <v/>
      </c>
      <c r="K85" s="27" t="str">
        <f>IFERROR(HLOOKUP(Таблица5[[#Headers],[Сумма КазНИИСА]],'WV 4.0'!$A:$N,ROW('WV 4.0'!74:74),0),"")</f>
        <v/>
      </c>
      <c r="L85" s="27">
        <f>IFERROR(HLOOKUP(Таблица5[[#Headers],[Код КазНИИСА]],'WV 4.0'!$A:$N,ROW('WV 4.0'!74:74),0),"")</f>
        <v>0</v>
      </c>
      <c r="M85" s="27" t="str">
        <f>IFERROR(HLOOKUP(Таблица5[[#Headers],[РРЦ в тнг]],'WV 4.0'!$A:$N,ROW('WV 4.0'!74:74),0),"")</f>
        <v/>
      </c>
      <c r="N85" s="27" t="str">
        <f>IFERROR(HLOOKUP(Таблица5[[#Headers],[Сумма РРЦ]],'WV 4.0'!$A:$N,ROW('WV 4.0'!74:74),0),"")</f>
        <v/>
      </c>
    </row>
    <row r="86" spans="1:14" x14ac:dyDescent="0.25">
      <c r="A86" s="29">
        <f>IFERROR('WV 4.0'!A75, " ")</f>
        <v>0</v>
      </c>
      <c r="B86" s="29">
        <f>IFERROR('WV 4.0'!B75, " ")</f>
        <v>0</v>
      </c>
      <c r="C86" s="29">
        <f>IFERROR('WV 4.0'!C75, " ")</f>
        <v>0</v>
      </c>
      <c r="D86" s="29">
        <f>IFERROR('WV 4.0'!D75, " ")</f>
        <v>0</v>
      </c>
      <c r="E86" s="29">
        <f>IFERROR('WV 4.0'!E75, " ")</f>
        <v>0</v>
      </c>
      <c r="F86" s="27">
        <f>IFERROR(ROUND(HLOOKUP(Таблица5[[#Headers],[Цена КП]],'WV 4.0'!$A:$N,ROW('WV 4.0'!75:75),0),0),"")</f>
        <v>0</v>
      </c>
      <c r="G86" s="27">
        <f>IFERROR(Таблица5[[#This Row],[Цена КП]]*Таблица5[[#This Row],[Кол-во]],"")</f>
        <v>0</v>
      </c>
      <c r="H86" s="42">
        <f>IFERROR(HLOOKUP(Таблица5[[#Headers],[Комментарии]],'WV 4.0'!$A:$N,ROW('WV 4.0'!75:75),0),"")</f>
        <v>0</v>
      </c>
      <c r="I86" s="42">
        <f>IFERROR(HLOOKUP(Таблица5[[#Headers],[Срок поставки]],'WV 4.0'!$A:$N,ROW('WV 4.0'!75:75),0),"")</f>
        <v>0</v>
      </c>
      <c r="J86" s="27" t="str">
        <f>IFERROR(HLOOKUP(Таблица5[[#Headers],[Цена КазНИИСА]],'WV 4.0'!$A:$N,ROW('WV 4.0'!75:75),0),"")</f>
        <v/>
      </c>
      <c r="K86" s="27" t="str">
        <f>IFERROR(HLOOKUP(Таблица5[[#Headers],[Сумма КазНИИСА]],'WV 4.0'!$A:$N,ROW('WV 4.0'!75:75),0),"")</f>
        <v/>
      </c>
      <c r="L86" s="27">
        <f>IFERROR(HLOOKUP(Таблица5[[#Headers],[Код КазНИИСА]],'WV 4.0'!$A:$N,ROW('WV 4.0'!75:75),0),"")</f>
        <v>0</v>
      </c>
      <c r="M86" s="27" t="str">
        <f>IFERROR(HLOOKUP(Таблица5[[#Headers],[РРЦ в тнг]],'WV 4.0'!$A:$N,ROW('WV 4.0'!75:75),0),"")</f>
        <v/>
      </c>
      <c r="N86" s="27" t="str">
        <f>IFERROR(HLOOKUP(Таблица5[[#Headers],[Сумма РРЦ]],'WV 4.0'!$A:$N,ROW('WV 4.0'!75:75),0),"")</f>
        <v/>
      </c>
    </row>
    <row r="87" spans="1:14" x14ac:dyDescent="0.25">
      <c r="A87" s="29">
        <f>IFERROR('WV 4.0'!A76, " ")</f>
        <v>0</v>
      </c>
      <c r="B87" s="29">
        <f>IFERROR('WV 4.0'!B76, " ")</f>
        <v>0</v>
      </c>
      <c r="C87" s="29">
        <f>IFERROR('WV 4.0'!C76, " ")</f>
        <v>0</v>
      </c>
      <c r="D87" s="29">
        <f>IFERROR('WV 4.0'!D76, " ")</f>
        <v>0</v>
      </c>
      <c r="E87" s="29">
        <f>IFERROR('WV 4.0'!E76, " ")</f>
        <v>0</v>
      </c>
      <c r="F87" s="27">
        <f>IFERROR(ROUND(HLOOKUP(Таблица5[[#Headers],[Цена КП]],'WV 4.0'!$A:$N,ROW('WV 4.0'!76:76),0),0),"")</f>
        <v>0</v>
      </c>
      <c r="G87" s="27">
        <f>IFERROR(Таблица5[[#This Row],[Цена КП]]*Таблица5[[#This Row],[Кол-во]],"")</f>
        <v>0</v>
      </c>
      <c r="H87" s="42">
        <f>IFERROR(HLOOKUP(Таблица5[[#Headers],[Комментарии]],'WV 4.0'!$A:$N,ROW('WV 4.0'!76:76),0),"")</f>
        <v>0</v>
      </c>
      <c r="I87" s="42">
        <f>IFERROR(HLOOKUP(Таблица5[[#Headers],[Срок поставки]],'WV 4.0'!$A:$N,ROW('WV 4.0'!76:76),0),"")</f>
        <v>0</v>
      </c>
      <c r="J87" s="27" t="str">
        <f>IFERROR(HLOOKUP(Таблица5[[#Headers],[Цена КазНИИСА]],'WV 4.0'!$A:$N,ROW('WV 4.0'!76:76),0),"")</f>
        <v/>
      </c>
      <c r="K87" s="27" t="str">
        <f>IFERROR(HLOOKUP(Таблица5[[#Headers],[Сумма КазНИИСА]],'WV 4.0'!$A:$N,ROW('WV 4.0'!76:76),0),"")</f>
        <v/>
      </c>
      <c r="L87" s="27">
        <f>IFERROR(HLOOKUP(Таблица5[[#Headers],[Код КазНИИСА]],'WV 4.0'!$A:$N,ROW('WV 4.0'!76:76),0),"")</f>
        <v>0</v>
      </c>
      <c r="M87" s="27" t="str">
        <f>IFERROR(HLOOKUP(Таблица5[[#Headers],[РРЦ в тнг]],'WV 4.0'!$A:$N,ROW('WV 4.0'!76:76),0),"")</f>
        <v/>
      </c>
      <c r="N87" s="27" t="str">
        <f>IFERROR(HLOOKUP(Таблица5[[#Headers],[Сумма РРЦ]],'WV 4.0'!$A:$N,ROW('WV 4.0'!76:76),0),"")</f>
        <v/>
      </c>
    </row>
    <row r="88" spans="1:14" x14ac:dyDescent="0.25">
      <c r="A88" s="29">
        <f>IFERROR('WV 4.0'!A77, " ")</f>
        <v>0</v>
      </c>
      <c r="B88" s="29">
        <f>IFERROR('WV 4.0'!B77, " ")</f>
        <v>0</v>
      </c>
      <c r="C88" s="29">
        <f>IFERROR('WV 4.0'!C77, " ")</f>
        <v>0</v>
      </c>
      <c r="D88" s="29">
        <f>IFERROR('WV 4.0'!D77, " ")</f>
        <v>0</v>
      </c>
      <c r="E88" s="29">
        <f>IFERROR('WV 4.0'!E77, " ")</f>
        <v>0</v>
      </c>
      <c r="F88" s="27">
        <f>IFERROR(ROUND(HLOOKUP(Таблица5[[#Headers],[Цена КП]],'WV 4.0'!$A:$N,ROW('WV 4.0'!77:77),0),0),"")</f>
        <v>0</v>
      </c>
      <c r="G88" s="27">
        <f>IFERROR(Таблица5[[#This Row],[Цена КП]]*Таблица5[[#This Row],[Кол-во]],"")</f>
        <v>0</v>
      </c>
      <c r="H88" s="42">
        <f>IFERROR(HLOOKUP(Таблица5[[#Headers],[Комментарии]],'WV 4.0'!$A:$N,ROW('WV 4.0'!77:77),0),"")</f>
        <v>0</v>
      </c>
      <c r="I88" s="42">
        <f>IFERROR(HLOOKUP(Таблица5[[#Headers],[Срок поставки]],'WV 4.0'!$A:$N,ROW('WV 4.0'!77:77),0),"")</f>
        <v>0</v>
      </c>
      <c r="J88" s="27" t="str">
        <f>IFERROR(HLOOKUP(Таблица5[[#Headers],[Цена КазНИИСА]],'WV 4.0'!$A:$N,ROW('WV 4.0'!77:77),0),"")</f>
        <v/>
      </c>
      <c r="K88" s="27" t="str">
        <f>IFERROR(HLOOKUP(Таблица5[[#Headers],[Сумма КазНИИСА]],'WV 4.0'!$A:$N,ROW('WV 4.0'!77:77),0),"")</f>
        <v/>
      </c>
      <c r="L88" s="27">
        <f>IFERROR(HLOOKUP(Таблица5[[#Headers],[Код КазНИИСА]],'WV 4.0'!$A:$N,ROW('WV 4.0'!77:77),0),"")</f>
        <v>0</v>
      </c>
      <c r="M88" s="27" t="str">
        <f>IFERROR(HLOOKUP(Таблица5[[#Headers],[РРЦ в тнг]],'WV 4.0'!$A:$N,ROW('WV 4.0'!77:77),0),"")</f>
        <v/>
      </c>
      <c r="N88" s="27" t="str">
        <f>IFERROR(HLOOKUP(Таблица5[[#Headers],[Сумма РРЦ]],'WV 4.0'!$A:$N,ROW('WV 4.0'!77:77),0),"")</f>
        <v/>
      </c>
    </row>
    <row r="89" spans="1:14" x14ac:dyDescent="0.25">
      <c r="A89" s="29">
        <f>IFERROR('WV 4.0'!A78, " ")</f>
        <v>0</v>
      </c>
      <c r="B89" s="29">
        <f>IFERROR('WV 4.0'!B78, " ")</f>
        <v>0</v>
      </c>
      <c r="C89" s="29">
        <f>IFERROR('WV 4.0'!C78, " ")</f>
        <v>0</v>
      </c>
      <c r="D89" s="29">
        <f>IFERROR('WV 4.0'!D78, " ")</f>
        <v>0</v>
      </c>
      <c r="E89" s="29">
        <f>IFERROR('WV 4.0'!E78, " ")</f>
        <v>0</v>
      </c>
      <c r="F89" s="27">
        <f>IFERROR(ROUND(HLOOKUP(Таблица5[[#Headers],[Цена КП]],'WV 4.0'!$A:$N,ROW('WV 4.0'!78:78),0),0),"")</f>
        <v>0</v>
      </c>
      <c r="G89" s="27">
        <f>IFERROR(Таблица5[[#This Row],[Цена КП]]*Таблица5[[#This Row],[Кол-во]],"")</f>
        <v>0</v>
      </c>
      <c r="H89" s="42">
        <f>IFERROR(HLOOKUP(Таблица5[[#Headers],[Комментарии]],'WV 4.0'!$A:$N,ROW('WV 4.0'!78:78),0),"")</f>
        <v>0</v>
      </c>
      <c r="I89" s="42">
        <f>IFERROR(HLOOKUP(Таблица5[[#Headers],[Срок поставки]],'WV 4.0'!$A:$N,ROW('WV 4.0'!78:78),0),"")</f>
        <v>0</v>
      </c>
      <c r="J89" s="27" t="str">
        <f>IFERROR(HLOOKUP(Таблица5[[#Headers],[Цена КазНИИСА]],'WV 4.0'!$A:$N,ROW('WV 4.0'!78:78),0),"")</f>
        <v/>
      </c>
      <c r="K89" s="27" t="str">
        <f>IFERROR(HLOOKUP(Таблица5[[#Headers],[Сумма КазНИИСА]],'WV 4.0'!$A:$N,ROW('WV 4.0'!78:78),0),"")</f>
        <v/>
      </c>
      <c r="L89" s="27">
        <f>IFERROR(HLOOKUP(Таблица5[[#Headers],[Код КазНИИСА]],'WV 4.0'!$A:$N,ROW('WV 4.0'!78:78),0),"")</f>
        <v>0</v>
      </c>
      <c r="M89" s="27" t="str">
        <f>IFERROR(HLOOKUP(Таблица5[[#Headers],[РРЦ в тнг]],'WV 4.0'!$A:$N,ROW('WV 4.0'!78:78),0),"")</f>
        <v/>
      </c>
      <c r="N89" s="27" t="str">
        <f>IFERROR(HLOOKUP(Таблица5[[#Headers],[Сумма РРЦ]],'WV 4.0'!$A:$N,ROW('WV 4.0'!78:78),0),"")</f>
        <v/>
      </c>
    </row>
    <row r="90" spans="1:14" x14ac:dyDescent="0.25">
      <c r="A90" s="29">
        <f>IFERROR('WV 4.0'!A79, " ")</f>
        <v>0</v>
      </c>
      <c r="B90" s="29">
        <f>IFERROR('WV 4.0'!B79, " ")</f>
        <v>0</v>
      </c>
      <c r="C90" s="29">
        <f>IFERROR('WV 4.0'!C79, " ")</f>
        <v>0</v>
      </c>
      <c r="D90" s="29">
        <f>IFERROR('WV 4.0'!D79, " ")</f>
        <v>0</v>
      </c>
      <c r="E90" s="29">
        <f>IFERROR('WV 4.0'!E79, " ")</f>
        <v>0</v>
      </c>
      <c r="F90" s="27">
        <f>IFERROR(ROUND(HLOOKUP(Таблица5[[#Headers],[Цена КП]],'WV 4.0'!$A:$N,ROW('WV 4.0'!79:79),0),0),"")</f>
        <v>0</v>
      </c>
      <c r="G90" s="27">
        <f>IFERROR(Таблица5[[#This Row],[Цена КП]]*Таблица5[[#This Row],[Кол-во]],"")</f>
        <v>0</v>
      </c>
      <c r="H90" s="42">
        <f>IFERROR(HLOOKUP(Таблица5[[#Headers],[Комментарии]],'WV 4.0'!$A:$N,ROW('WV 4.0'!79:79),0),"")</f>
        <v>0</v>
      </c>
      <c r="I90" s="42">
        <f>IFERROR(HLOOKUP(Таблица5[[#Headers],[Срок поставки]],'WV 4.0'!$A:$N,ROW('WV 4.0'!79:79),0),"")</f>
        <v>0</v>
      </c>
      <c r="J90" s="27" t="str">
        <f>IFERROR(HLOOKUP(Таблица5[[#Headers],[Цена КазНИИСА]],'WV 4.0'!$A:$N,ROW('WV 4.0'!79:79),0),"")</f>
        <v/>
      </c>
      <c r="K90" s="27" t="str">
        <f>IFERROR(HLOOKUP(Таблица5[[#Headers],[Сумма КазНИИСА]],'WV 4.0'!$A:$N,ROW('WV 4.0'!79:79),0),"")</f>
        <v/>
      </c>
      <c r="L90" s="27">
        <f>IFERROR(HLOOKUP(Таблица5[[#Headers],[Код КазНИИСА]],'WV 4.0'!$A:$N,ROW('WV 4.0'!79:79),0),"")</f>
        <v>0</v>
      </c>
      <c r="M90" s="27" t="str">
        <f>IFERROR(HLOOKUP(Таблица5[[#Headers],[РРЦ в тнг]],'WV 4.0'!$A:$N,ROW('WV 4.0'!79:79),0),"")</f>
        <v/>
      </c>
      <c r="N90" s="27" t="str">
        <f>IFERROR(HLOOKUP(Таблица5[[#Headers],[Сумма РРЦ]],'WV 4.0'!$A:$N,ROW('WV 4.0'!79:79),0),"")</f>
        <v/>
      </c>
    </row>
    <row r="91" spans="1:14" x14ac:dyDescent="0.25">
      <c r="A91" s="29">
        <f>IFERROR('WV 4.0'!A80, " ")</f>
        <v>0</v>
      </c>
      <c r="B91" s="29">
        <f>IFERROR('WV 4.0'!B80, " ")</f>
        <v>0</v>
      </c>
      <c r="C91" s="29">
        <f>IFERROR('WV 4.0'!C80, " ")</f>
        <v>0</v>
      </c>
      <c r="D91" s="29">
        <f>IFERROR('WV 4.0'!D80, " ")</f>
        <v>0</v>
      </c>
      <c r="E91" s="29">
        <f>IFERROR('WV 4.0'!E80, " ")</f>
        <v>0</v>
      </c>
      <c r="F91" s="27">
        <f>IFERROR(ROUND(HLOOKUP(Таблица5[[#Headers],[Цена КП]],'WV 4.0'!$A:$N,ROW('WV 4.0'!80:80),0),0),"")</f>
        <v>0</v>
      </c>
      <c r="G91" s="27">
        <f>IFERROR(Таблица5[[#This Row],[Цена КП]]*Таблица5[[#This Row],[Кол-во]],"")</f>
        <v>0</v>
      </c>
      <c r="H91" s="42">
        <f>IFERROR(HLOOKUP(Таблица5[[#Headers],[Комментарии]],'WV 4.0'!$A:$N,ROW('WV 4.0'!80:80),0),"")</f>
        <v>0</v>
      </c>
      <c r="I91" s="42">
        <f>IFERROR(HLOOKUP(Таблица5[[#Headers],[Срок поставки]],'WV 4.0'!$A:$N,ROW('WV 4.0'!80:80),0),"")</f>
        <v>0</v>
      </c>
      <c r="J91" s="27" t="str">
        <f>IFERROR(HLOOKUP(Таблица5[[#Headers],[Цена КазНИИСА]],'WV 4.0'!$A:$N,ROW('WV 4.0'!80:80),0),"")</f>
        <v/>
      </c>
      <c r="K91" s="27" t="str">
        <f>IFERROR(HLOOKUP(Таблица5[[#Headers],[Сумма КазНИИСА]],'WV 4.0'!$A:$N,ROW('WV 4.0'!80:80),0),"")</f>
        <v/>
      </c>
      <c r="L91" s="27">
        <f>IFERROR(HLOOKUP(Таблица5[[#Headers],[Код КазНИИСА]],'WV 4.0'!$A:$N,ROW('WV 4.0'!80:80),0),"")</f>
        <v>0</v>
      </c>
      <c r="M91" s="27" t="str">
        <f>IFERROR(HLOOKUP(Таблица5[[#Headers],[РРЦ в тнг]],'WV 4.0'!$A:$N,ROW('WV 4.0'!80:80),0),"")</f>
        <v/>
      </c>
      <c r="N91" s="27" t="str">
        <f>IFERROR(HLOOKUP(Таблица5[[#Headers],[Сумма РРЦ]],'WV 4.0'!$A:$N,ROW('WV 4.0'!80:80),0),"")</f>
        <v/>
      </c>
    </row>
    <row r="92" spans="1:14" x14ac:dyDescent="0.25">
      <c r="A92" s="29">
        <f>IFERROR('WV 4.0'!A81, " ")</f>
        <v>0</v>
      </c>
      <c r="B92" s="29">
        <f>IFERROR('WV 4.0'!B81, " ")</f>
        <v>0</v>
      </c>
      <c r="C92" s="29">
        <f>IFERROR('WV 4.0'!C81, " ")</f>
        <v>0</v>
      </c>
      <c r="D92" s="29">
        <f>IFERROR('WV 4.0'!D81, " ")</f>
        <v>0</v>
      </c>
      <c r="E92" s="29">
        <f>IFERROR('WV 4.0'!E81, " ")</f>
        <v>0</v>
      </c>
      <c r="F92" s="27">
        <f>IFERROR(ROUND(HLOOKUP(Таблица5[[#Headers],[Цена КП]],'WV 4.0'!$A:$N,ROW('WV 4.0'!81:81),0),0),"")</f>
        <v>0</v>
      </c>
      <c r="G92" s="27">
        <f>IFERROR(Таблица5[[#This Row],[Цена КП]]*Таблица5[[#This Row],[Кол-во]],"")</f>
        <v>0</v>
      </c>
      <c r="H92" s="42">
        <f>IFERROR(HLOOKUP(Таблица5[[#Headers],[Комментарии]],'WV 4.0'!$A:$N,ROW('WV 4.0'!81:81),0),"")</f>
        <v>0</v>
      </c>
      <c r="I92" s="42">
        <f>IFERROR(HLOOKUP(Таблица5[[#Headers],[Срок поставки]],'WV 4.0'!$A:$N,ROW('WV 4.0'!81:81),0),"")</f>
        <v>0</v>
      </c>
      <c r="J92" s="27" t="str">
        <f>IFERROR(HLOOKUP(Таблица5[[#Headers],[Цена КазНИИСА]],'WV 4.0'!$A:$N,ROW('WV 4.0'!81:81),0),"")</f>
        <v/>
      </c>
      <c r="K92" s="27" t="str">
        <f>IFERROR(HLOOKUP(Таблица5[[#Headers],[Сумма КазНИИСА]],'WV 4.0'!$A:$N,ROW('WV 4.0'!81:81),0),"")</f>
        <v/>
      </c>
      <c r="L92" s="27">
        <f>IFERROR(HLOOKUP(Таблица5[[#Headers],[Код КазНИИСА]],'WV 4.0'!$A:$N,ROW('WV 4.0'!81:81),0),"")</f>
        <v>0</v>
      </c>
      <c r="M92" s="27" t="str">
        <f>IFERROR(HLOOKUP(Таблица5[[#Headers],[РРЦ в тнг]],'WV 4.0'!$A:$N,ROW('WV 4.0'!81:81),0),"")</f>
        <v/>
      </c>
      <c r="N92" s="27" t="str">
        <f>IFERROR(HLOOKUP(Таблица5[[#Headers],[Сумма РРЦ]],'WV 4.0'!$A:$N,ROW('WV 4.0'!81:81),0),"")</f>
        <v/>
      </c>
    </row>
    <row r="93" spans="1:14" x14ac:dyDescent="0.25">
      <c r="A93" s="29">
        <f>IFERROR('WV 4.0'!A82, " ")</f>
        <v>0</v>
      </c>
      <c r="B93" s="29">
        <f>IFERROR('WV 4.0'!B82, " ")</f>
        <v>0</v>
      </c>
      <c r="C93" s="29">
        <f>IFERROR('WV 4.0'!C82, " ")</f>
        <v>0</v>
      </c>
      <c r="D93" s="29">
        <f>IFERROR('WV 4.0'!D82, " ")</f>
        <v>0</v>
      </c>
      <c r="E93" s="29">
        <f>IFERROR('WV 4.0'!E82, " ")</f>
        <v>0</v>
      </c>
      <c r="F93" s="27">
        <f>IFERROR(ROUND(HLOOKUP(Таблица5[[#Headers],[Цена КП]],'WV 4.0'!$A:$N,ROW('WV 4.0'!82:82),0),0),"")</f>
        <v>0</v>
      </c>
      <c r="G93" s="27">
        <f>IFERROR(Таблица5[[#This Row],[Цена КП]]*Таблица5[[#This Row],[Кол-во]],"")</f>
        <v>0</v>
      </c>
      <c r="H93" s="42">
        <f>IFERROR(HLOOKUP(Таблица5[[#Headers],[Комментарии]],'WV 4.0'!$A:$N,ROW('WV 4.0'!82:82),0),"")</f>
        <v>0</v>
      </c>
      <c r="I93" s="42">
        <f>IFERROR(HLOOKUP(Таблица5[[#Headers],[Срок поставки]],'WV 4.0'!$A:$N,ROW('WV 4.0'!82:82),0),"")</f>
        <v>0</v>
      </c>
      <c r="J93" s="27" t="str">
        <f>IFERROR(HLOOKUP(Таблица5[[#Headers],[Цена КазНИИСА]],'WV 4.0'!$A:$N,ROW('WV 4.0'!82:82),0),"")</f>
        <v/>
      </c>
      <c r="K93" s="27" t="str">
        <f>IFERROR(HLOOKUP(Таблица5[[#Headers],[Сумма КазНИИСА]],'WV 4.0'!$A:$N,ROW('WV 4.0'!82:82),0),"")</f>
        <v/>
      </c>
      <c r="L93" s="27">
        <f>IFERROR(HLOOKUP(Таблица5[[#Headers],[Код КазНИИСА]],'WV 4.0'!$A:$N,ROW('WV 4.0'!82:82),0),"")</f>
        <v>0</v>
      </c>
      <c r="M93" s="27" t="str">
        <f>IFERROR(HLOOKUP(Таблица5[[#Headers],[РРЦ в тнг]],'WV 4.0'!$A:$N,ROW('WV 4.0'!82:82),0),"")</f>
        <v/>
      </c>
      <c r="N93" s="27" t="str">
        <f>IFERROR(HLOOKUP(Таблица5[[#Headers],[Сумма РРЦ]],'WV 4.0'!$A:$N,ROW('WV 4.0'!82:82),0),"")</f>
        <v/>
      </c>
    </row>
    <row r="94" spans="1:14" x14ac:dyDescent="0.25">
      <c r="A94" s="29">
        <f>IFERROR('WV 4.0'!A83, " ")</f>
        <v>0</v>
      </c>
      <c r="B94" s="29">
        <f>IFERROR('WV 4.0'!B83, " ")</f>
        <v>0</v>
      </c>
      <c r="C94" s="29">
        <f>IFERROR('WV 4.0'!C83, " ")</f>
        <v>0</v>
      </c>
      <c r="D94" s="29">
        <f>IFERROR('WV 4.0'!D83, " ")</f>
        <v>0</v>
      </c>
      <c r="E94" s="29">
        <f>IFERROR('WV 4.0'!E83, " ")</f>
        <v>0</v>
      </c>
      <c r="F94" s="27">
        <f>IFERROR(ROUND(HLOOKUP(Таблица5[[#Headers],[Цена КП]],'WV 4.0'!$A:$N,ROW('WV 4.0'!83:83),0),0),"")</f>
        <v>0</v>
      </c>
      <c r="G94" s="27">
        <f>IFERROR(Таблица5[[#This Row],[Цена КП]]*Таблица5[[#This Row],[Кол-во]],"")</f>
        <v>0</v>
      </c>
      <c r="H94" s="42">
        <f>IFERROR(HLOOKUP(Таблица5[[#Headers],[Комментарии]],'WV 4.0'!$A:$N,ROW('WV 4.0'!83:83),0),"")</f>
        <v>0</v>
      </c>
      <c r="I94" s="42">
        <f>IFERROR(HLOOKUP(Таблица5[[#Headers],[Срок поставки]],'WV 4.0'!$A:$N,ROW('WV 4.0'!83:83),0),"")</f>
        <v>0</v>
      </c>
      <c r="J94" s="27" t="str">
        <f>IFERROR(HLOOKUP(Таблица5[[#Headers],[Цена КазНИИСА]],'WV 4.0'!$A:$N,ROW('WV 4.0'!83:83),0),"")</f>
        <v/>
      </c>
      <c r="K94" s="27" t="str">
        <f>IFERROR(HLOOKUP(Таблица5[[#Headers],[Сумма КазНИИСА]],'WV 4.0'!$A:$N,ROW('WV 4.0'!83:83),0),"")</f>
        <v/>
      </c>
      <c r="L94" s="27">
        <f>IFERROR(HLOOKUP(Таблица5[[#Headers],[Код КазНИИСА]],'WV 4.0'!$A:$N,ROW('WV 4.0'!83:83),0),"")</f>
        <v>0</v>
      </c>
      <c r="M94" s="27" t="str">
        <f>IFERROR(HLOOKUP(Таблица5[[#Headers],[РРЦ в тнг]],'WV 4.0'!$A:$N,ROW('WV 4.0'!83:83),0),"")</f>
        <v/>
      </c>
      <c r="N94" s="27" t="str">
        <f>IFERROR(HLOOKUP(Таблица5[[#Headers],[Сумма РРЦ]],'WV 4.0'!$A:$N,ROW('WV 4.0'!83:83),0),"")</f>
        <v/>
      </c>
    </row>
    <row r="95" spans="1:14" x14ac:dyDescent="0.25">
      <c r="A95" s="29">
        <f>IFERROR('WV 4.0'!A84, " ")</f>
        <v>0</v>
      </c>
      <c r="B95" s="29">
        <f>IFERROR('WV 4.0'!B84, " ")</f>
        <v>0</v>
      </c>
      <c r="C95" s="29">
        <f>IFERROR('WV 4.0'!C84, " ")</f>
        <v>0</v>
      </c>
      <c r="D95" s="29">
        <f>IFERROR('WV 4.0'!D84, " ")</f>
        <v>0</v>
      </c>
      <c r="E95" s="29">
        <f>IFERROR('WV 4.0'!E84, " ")</f>
        <v>0</v>
      </c>
      <c r="F95" s="27">
        <f>IFERROR(ROUND(HLOOKUP(Таблица5[[#Headers],[Цена КП]],'WV 4.0'!$A:$N,ROW('WV 4.0'!84:84),0),0),"")</f>
        <v>0</v>
      </c>
      <c r="G95" s="27">
        <f>IFERROR(Таблица5[[#This Row],[Цена КП]]*Таблица5[[#This Row],[Кол-во]],"")</f>
        <v>0</v>
      </c>
      <c r="H95" s="42">
        <f>IFERROR(HLOOKUP(Таблица5[[#Headers],[Комментарии]],'WV 4.0'!$A:$N,ROW('WV 4.0'!84:84),0),"")</f>
        <v>0</v>
      </c>
      <c r="I95" s="42">
        <f>IFERROR(HLOOKUP(Таблица5[[#Headers],[Срок поставки]],'WV 4.0'!$A:$N,ROW('WV 4.0'!84:84),0),"")</f>
        <v>0</v>
      </c>
      <c r="J95" s="27" t="str">
        <f>IFERROR(HLOOKUP(Таблица5[[#Headers],[Цена КазНИИСА]],'WV 4.0'!$A:$N,ROW('WV 4.0'!84:84),0),"")</f>
        <v/>
      </c>
      <c r="K95" s="27" t="str">
        <f>IFERROR(HLOOKUP(Таблица5[[#Headers],[Сумма КазНИИСА]],'WV 4.0'!$A:$N,ROW('WV 4.0'!84:84),0),"")</f>
        <v/>
      </c>
      <c r="L95" s="27">
        <f>IFERROR(HLOOKUP(Таблица5[[#Headers],[Код КазНИИСА]],'WV 4.0'!$A:$N,ROW('WV 4.0'!84:84),0),"")</f>
        <v>0</v>
      </c>
      <c r="M95" s="27" t="str">
        <f>IFERROR(HLOOKUP(Таблица5[[#Headers],[РРЦ в тнг]],'WV 4.0'!$A:$N,ROW('WV 4.0'!84:84),0),"")</f>
        <v/>
      </c>
      <c r="N95" s="27" t="str">
        <f>IFERROR(HLOOKUP(Таблица5[[#Headers],[Сумма РРЦ]],'WV 4.0'!$A:$N,ROW('WV 4.0'!84:84),0),"")</f>
        <v/>
      </c>
    </row>
    <row r="96" spans="1:14" x14ac:dyDescent="0.25">
      <c r="A96" s="29">
        <f>IFERROR('WV 4.0'!A85, " ")</f>
        <v>0</v>
      </c>
      <c r="B96" s="29">
        <f>IFERROR('WV 4.0'!B85, " ")</f>
        <v>0</v>
      </c>
      <c r="C96" s="29">
        <f>IFERROR('WV 4.0'!C85, " ")</f>
        <v>0</v>
      </c>
      <c r="D96" s="29">
        <f>IFERROR('WV 4.0'!D85, " ")</f>
        <v>0</v>
      </c>
      <c r="E96" s="29">
        <f>IFERROR('WV 4.0'!E85, " ")</f>
        <v>0</v>
      </c>
      <c r="F96" s="27">
        <f>IFERROR(ROUND(HLOOKUP(Таблица5[[#Headers],[Цена КП]],'WV 4.0'!$A:$N,ROW('WV 4.0'!85:85),0),0),"")</f>
        <v>0</v>
      </c>
      <c r="G96" s="27">
        <f>IFERROR(Таблица5[[#This Row],[Цена КП]]*Таблица5[[#This Row],[Кол-во]],"")</f>
        <v>0</v>
      </c>
      <c r="H96" s="42">
        <f>IFERROR(HLOOKUP(Таблица5[[#Headers],[Комментарии]],'WV 4.0'!$A:$N,ROW('WV 4.0'!85:85),0),"")</f>
        <v>0</v>
      </c>
      <c r="I96" s="42">
        <f>IFERROR(HLOOKUP(Таблица5[[#Headers],[Срок поставки]],'WV 4.0'!$A:$N,ROW('WV 4.0'!85:85),0),"")</f>
        <v>0</v>
      </c>
      <c r="J96" s="27" t="str">
        <f>IFERROR(HLOOKUP(Таблица5[[#Headers],[Цена КазНИИСА]],'WV 4.0'!$A:$N,ROW('WV 4.0'!85:85),0),"")</f>
        <v/>
      </c>
      <c r="K96" s="27" t="str">
        <f>IFERROR(HLOOKUP(Таблица5[[#Headers],[Сумма КазНИИСА]],'WV 4.0'!$A:$N,ROW('WV 4.0'!85:85),0),"")</f>
        <v/>
      </c>
      <c r="L96" s="27">
        <f>IFERROR(HLOOKUP(Таблица5[[#Headers],[Код КазНИИСА]],'WV 4.0'!$A:$N,ROW('WV 4.0'!85:85),0),"")</f>
        <v>0</v>
      </c>
      <c r="M96" s="27" t="str">
        <f>IFERROR(HLOOKUP(Таблица5[[#Headers],[РРЦ в тнг]],'WV 4.0'!$A:$N,ROW('WV 4.0'!85:85),0),"")</f>
        <v/>
      </c>
      <c r="N96" s="27" t="str">
        <f>IFERROR(HLOOKUP(Таблица5[[#Headers],[Сумма РРЦ]],'WV 4.0'!$A:$N,ROW('WV 4.0'!85:85),0),"")</f>
        <v/>
      </c>
    </row>
    <row r="97" spans="1:14" x14ac:dyDescent="0.25">
      <c r="A97" s="29">
        <f>IFERROR('WV 4.0'!A86, " ")</f>
        <v>0</v>
      </c>
      <c r="B97" s="29">
        <f>IFERROR('WV 4.0'!B86, " ")</f>
        <v>0</v>
      </c>
      <c r="C97" s="29">
        <f>IFERROR('WV 4.0'!C86, " ")</f>
        <v>0</v>
      </c>
      <c r="D97" s="29">
        <f>IFERROR('WV 4.0'!D86, " ")</f>
        <v>0</v>
      </c>
      <c r="E97" s="29">
        <f>IFERROR('WV 4.0'!E86, " ")</f>
        <v>0</v>
      </c>
      <c r="F97" s="27">
        <f>IFERROR(ROUND(HLOOKUP(Таблица5[[#Headers],[Цена КП]],'WV 4.0'!$A:$N,ROW('WV 4.0'!86:86),0),0),"")</f>
        <v>0</v>
      </c>
      <c r="G97" s="27">
        <f>IFERROR(Таблица5[[#This Row],[Цена КП]]*Таблица5[[#This Row],[Кол-во]],"")</f>
        <v>0</v>
      </c>
      <c r="H97" s="42">
        <f>IFERROR(HLOOKUP(Таблица5[[#Headers],[Комментарии]],'WV 4.0'!$A:$N,ROW('WV 4.0'!86:86),0),"")</f>
        <v>0</v>
      </c>
      <c r="I97" s="42">
        <f>IFERROR(HLOOKUP(Таблица5[[#Headers],[Срок поставки]],'WV 4.0'!$A:$N,ROW('WV 4.0'!86:86),0),"")</f>
        <v>0</v>
      </c>
      <c r="J97" s="27" t="str">
        <f>IFERROR(HLOOKUP(Таблица5[[#Headers],[Цена КазНИИСА]],'WV 4.0'!$A:$N,ROW('WV 4.0'!86:86),0),"")</f>
        <v/>
      </c>
      <c r="K97" s="27" t="str">
        <f>IFERROR(HLOOKUP(Таблица5[[#Headers],[Сумма КазНИИСА]],'WV 4.0'!$A:$N,ROW('WV 4.0'!86:86),0),"")</f>
        <v/>
      </c>
      <c r="L97" s="27">
        <f>IFERROR(HLOOKUP(Таблица5[[#Headers],[Код КазНИИСА]],'WV 4.0'!$A:$N,ROW('WV 4.0'!86:86),0),"")</f>
        <v>0</v>
      </c>
      <c r="M97" s="27" t="str">
        <f>IFERROR(HLOOKUP(Таблица5[[#Headers],[РРЦ в тнг]],'WV 4.0'!$A:$N,ROW('WV 4.0'!86:86),0),"")</f>
        <v/>
      </c>
      <c r="N97" s="27" t="str">
        <f>IFERROR(HLOOKUP(Таблица5[[#Headers],[Сумма РРЦ]],'WV 4.0'!$A:$N,ROW('WV 4.0'!86:86),0),"")</f>
        <v/>
      </c>
    </row>
    <row r="98" spans="1:14" x14ac:dyDescent="0.25">
      <c r="A98" s="29">
        <f>IFERROR('WV 4.0'!A87, " ")</f>
        <v>0</v>
      </c>
      <c r="B98" s="29">
        <f>IFERROR('WV 4.0'!B87, " ")</f>
        <v>0</v>
      </c>
      <c r="C98" s="29">
        <f>IFERROR('WV 4.0'!C87, " ")</f>
        <v>0</v>
      </c>
      <c r="D98" s="29">
        <f>IFERROR('WV 4.0'!D87, " ")</f>
        <v>0</v>
      </c>
      <c r="E98" s="29">
        <f>IFERROR('WV 4.0'!E87, " ")</f>
        <v>0</v>
      </c>
      <c r="F98" s="27">
        <f>IFERROR(ROUND(HLOOKUP(Таблица5[[#Headers],[Цена КП]],'WV 4.0'!$A:$N,ROW('WV 4.0'!87:87),0),0),"")</f>
        <v>0</v>
      </c>
      <c r="G98" s="27">
        <f>IFERROR(Таблица5[[#This Row],[Цена КП]]*Таблица5[[#This Row],[Кол-во]],"")</f>
        <v>0</v>
      </c>
      <c r="H98" s="42">
        <f>IFERROR(HLOOKUP(Таблица5[[#Headers],[Комментарии]],'WV 4.0'!$A:$N,ROW('WV 4.0'!87:87),0),"")</f>
        <v>0</v>
      </c>
      <c r="I98" s="42">
        <f>IFERROR(HLOOKUP(Таблица5[[#Headers],[Срок поставки]],'WV 4.0'!$A:$N,ROW('WV 4.0'!87:87),0),"")</f>
        <v>0</v>
      </c>
      <c r="J98" s="27" t="str">
        <f>IFERROR(HLOOKUP(Таблица5[[#Headers],[Цена КазНИИСА]],'WV 4.0'!$A:$N,ROW('WV 4.0'!87:87),0),"")</f>
        <v/>
      </c>
      <c r="K98" s="27" t="str">
        <f>IFERROR(HLOOKUP(Таблица5[[#Headers],[Сумма КазНИИСА]],'WV 4.0'!$A:$N,ROW('WV 4.0'!87:87),0),"")</f>
        <v/>
      </c>
      <c r="L98" s="27">
        <f>IFERROR(HLOOKUP(Таблица5[[#Headers],[Код КазНИИСА]],'WV 4.0'!$A:$N,ROW('WV 4.0'!87:87),0),"")</f>
        <v>0</v>
      </c>
      <c r="M98" s="27" t="str">
        <f>IFERROR(HLOOKUP(Таблица5[[#Headers],[РРЦ в тнг]],'WV 4.0'!$A:$N,ROW('WV 4.0'!87:87),0),"")</f>
        <v/>
      </c>
      <c r="N98" s="27" t="str">
        <f>IFERROR(HLOOKUP(Таблица5[[#Headers],[Сумма РРЦ]],'WV 4.0'!$A:$N,ROW('WV 4.0'!87:87),0),"")</f>
        <v/>
      </c>
    </row>
    <row r="99" spans="1:14" x14ac:dyDescent="0.25">
      <c r="A99" s="29">
        <f>IFERROR('WV 4.0'!A88, " ")</f>
        <v>0</v>
      </c>
      <c r="B99" s="29">
        <f>IFERROR('WV 4.0'!B88, " ")</f>
        <v>0</v>
      </c>
      <c r="C99" s="29">
        <f>IFERROR('WV 4.0'!C88, " ")</f>
        <v>0</v>
      </c>
      <c r="D99" s="29">
        <f>IFERROR('WV 4.0'!D88, " ")</f>
        <v>0</v>
      </c>
      <c r="E99" s="29">
        <f>IFERROR('WV 4.0'!E88, " ")</f>
        <v>0</v>
      </c>
      <c r="F99" s="27">
        <f>IFERROR(ROUND(HLOOKUP(Таблица5[[#Headers],[Цена КП]],'WV 4.0'!$A:$N,ROW('WV 4.0'!88:88),0),0),"")</f>
        <v>0</v>
      </c>
      <c r="G99" s="27">
        <f>IFERROR(Таблица5[[#This Row],[Цена КП]]*Таблица5[[#This Row],[Кол-во]],"")</f>
        <v>0</v>
      </c>
      <c r="H99" s="42">
        <f>IFERROR(HLOOKUP(Таблица5[[#Headers],[Комментарии]],'WV 4.0'!$A:$N,ROW('WV 4.0'!88:88),0),"")</f>
        <v>0</v>
      </c>
      <c r="I99" s="42">
        <f>IFERROR(HLOOKUP(Таблица5[[#Headers],[Срок поставки]],'WV 4.0'!$A:$N,ROW('WV 4.0'!88:88),0),"")</f>
        <v>0</v>
      </c>
      <c r="J99" s="27" t="str">
        <f>IFERROR(HLOOKUP(Таблица5[[#Headers],[Цена КазНИИСА]],'WV 4.0'!$A:$N,ROW('WV 4.0'!88:88),0),"")</f>
        <v/>
      </c>
      <c r="K99" s="27" t="str">
        <f>IFERROR(HLOOKUP(Таблица5[[#Headers],[Сумма КазНИИСА]],'WV 4.0'!$A:$N,ROW('WV 4.0'!88:88),0),"")</f>
        <v/>
      </c>
      <c r="L99" s="27">
        <f>IFERROR(HLOOKUP(Таблица5[[#Headers],[Код КазНИИСА]],'WV 4.0'!$A:$N,ROW('WV 4.0'!88:88),0),"")</f>
        <v>0</v>
      </c>
      <c r="M99" s="27" t="str">
        <f>IFERROR(HLOOKUP(Таблица5[[#Headers],[РРЦ в тнг]],'WV 4.0'!$A:$N,ROW('WV 4.0'!88:88),0),"")</f>
        <v/>
      </c>
      <c r="N99" s="27" t="str">
        <f>IFERROR(HLOOKUP(Таблица5[[#Headers],[Сумма РРЦ]],'WV 4.0'!$A:$N,ROW('WV 4.0'!88:88),0),"")</f>
        <v/>
      </c>
    </row>
    <row r="100" spans="1:14" x14ac:dyDescent="0.25">
      <c r="A100" s="29">
        <f>IFERROR('WV 4.0'!A89, " ")</f>
        <v>0</v>
      </c>
      <c r="B100" s="29">
        <f>IFERROR('WV 4.0'!B89, " ")</f>
        <v>0</v>
      </c>
      <c r="C100" s="29">
        <f>IFERROR('WV 4.0'!C89, " ")</f>
        <v>0</v>
      </c>
      <c r="D100" s="29">
        <f>IFERROR('WV 4.0'!D89, " ")</f>
        <v>0</v>
      </c>
      <c r="E100" s="29">
        <f>IFERROR('WV 4.0'!E89, " ")</f>
        <v>0</v>
      </c>
      <c r="F100" s="27">
        <f>IFERROR(ROUND(HLOOKUP(Таблица5[[#Headers],[Цена КП]],'WV 4.0'!$A:$N,ROW('WV 4.0'!89:89),0),0),"")</f>
        <v>0</v>
      </c>
      <c r="G100" s="27">
        <f>IFERROR(Таблица5[[#This Row],[Цена КП]]*Таблица5[[#This Row],[Кол-во]],"")</f>
        <v>0</v>
      </c>
      <c r="H100" s="42">
        <f>IFERROR(HLOOKUP(Таблица5[[#Headers],[Комментарии]],'WV 4.0'!$A:$N,ROW('WV 4.0'!89:89),0),"")</f>
        <v>0</v>
      </c>
      <c r="I100" s="42">
        <f>IFERROR(HLOOKUP(Таблица5[[#Headers],[Срок поставки]],'WV 4.0'!$A:$N,ROW('WV 4.0'!89:89),0),"")</f>
        <v>0</v>
      </c>
      <c r="J100" s="27" t="str">
        <f>IFERROR(HLOOKUP(Таблица5[[#Headers],[Цена КазНИИСА]],'WV 4.0'!$A:$N,ROW('WV 4.0'!89:89),0),"")</f>
        <v/>
      </c>
      <c r="K100" s="27" t="str">
        <f>IFERROR(HLOOKUP(Таблица5[[#Headers],[Сумма КазНИИСА]],'WV 4.0'!$A:$N,ROW('WV 4.0'!89:89),0),"")</f>
        <v/>
      </c>
      <c r="L100" s="27">
        <f>IFERROR(HLOOKUP(Таблица5[[#Headers],[Код КазНИИСА]],'WV 4.0'!$A:$N,ROW('WV 4.0'!89:89),0),"")</f>
        <v>0</v>
      </c>
      <c r="M100" s="27" t="str">
        <f>IFERROR(HLOOKUP(Таблица5[[#Headers],[РРЦ в тнг]],'WV 4.0'!$A:$N,ROW('WV 4.0'!89:89),0),"")</f>
        <v/>
      </c>
      <c r="N100" s="27" t="str">
        <f>IFERROR(HLOOKUP(Таблица5[[#Headers],[Сумма РРЦ]],'WV 4.0'!$A:$N,ROW('WV 4.0'!89:89),0),"")</f>
        <v/>
      </c>
    </row>
    <row r="101" spans="1:14" x14ac:dyDescent="0.25">
      <c r="A101" s="29">
        <f>IFERROR('WV 4.0'!A90, " ")</f>
        <v>0</v>
      </c>
      <c r="B101" s="29">
        <f>IFERROR('WV 4.0'!B90, " ")</f>
        <v>0</v>
      </c>
      <c r="C101" s="29">
        <f>IFERROR('WV 4.0'!C90, " ")</f>
        <v>0</v>
      </c>
      <c r="D101" s="29">
        <f>IFERROR('WV 4.0'!D90, " ")</f>
        <v>0</v>
      </c>
      <c r="E101" s="29">
        <f>IFERROR('WV 4.0'!E90, " ")</f>
        <v>0</v>
      </c>
      <c r="F101" s="27">
        <f>IFERROR(ROUND(HLOOKUP(Таблица5[[#Headers],[Цена КП]],'WV 4.0'!$A:$N,ROW('WV 4.0'!90:90),0),0),"")</f>
        <v>0</v>
      </c>
      <c r="G101" s="27">
        <f>IFERROR(Таблица5[[#This Row],[Цена КП]]*Таблица5[[#This Row],[Кол-во]],"")</f>
        <v>0</v>
      </c>
      <c r="H101" s="42">
        <f>IFERROR(HLOOKUP(Таблица5[[#Headers],[Комментарии]],'WV 4.0'!$A:$N,ROW('WV 4.0'!90:90),0),"")</f>
        <v>0</v>
      </c>
      <c r="I101" s="42">
        <f>IFERROR(HLOOKUP(Таблица5[[#Headers],[Срок поставки]],'WV 4.0'!$A:$N,ROW('WV 4.0'!90:90),0),"")</f>
        <v>0</v>
      </c>
      <c r="J101" s="27" t="str">
        <f>IFERROR(HLOOKUP(Таблица5[[#Headers],[Цена КазНИИСА]],'WV 4.0'!$A:$N,ROW('WV 4.0'!90:90),0),"")</f>
        <v/>
      </c>
      <c r="K101" s="27" t="str">
        <f>IFERROR(HLOOKUP(Таблица5[[#Headers],[Сумма КазНИИСА]],'WV 4.0'!$A:$N,ROW('WV 4.0'!90:90),0),"")</f>
        <v/>
      </c>
      <c r="L101" s="27">
        <f>IFERROR(HLOOKUP(Таблица5[[#Headers],[Код КазНИИСА]],'WV 4.0'!$A:$N,ROW('WV 4.0'!90:90),0),"")</f>
        <v>0</v>
      </c>
      <c r="M101" s="27" t="str">
        <f>IFERROR(HLOOKUP(Таблица5[[#Headers],[РРЦ в тнг]],'WV 4.0'!$A:$N,ROW('WV 4.0'!90:90),0),"")</f>
        <v/>
      </c>
      <c r="N101" s="27" t="str">
        <f>IFERROR(HLOOKUP(Таблица5[[#Headers],[Сумма РРЦ]],'WV 4.0'!$A:$N,ROW('WV 4.0'!90:90),0),"")</f>
        <v/>
      </c>
    </row>
    <row r="102" spans="1:14" x14ac:dyDescent="0.25">
      <c r="A102" s="29">
        <f>IFERROR('WV 4.0'!A91, " ")</f>
        <v>0</v>
      </c>
      <c r="B102" s="29">
        <f>IFERROR('WV 4.0'!B91, " ")</f>
        <v>0</v>
      </c>
      <c r="C102" s="29">
        <f>IFERROR('WV 4.0'!C91, " ")</f>
        <v>0</v>
      </c>
      <c r="D102" s="29">
        <f>IFERROR('WV 4.0'!D91, " ")</f>
        <v>0</v>
      </c>
      <c r="E102" s="29">
        <f>IFERROR('WV 4.0'!E91, " ")</f>
        <v>0</v>
      </c>
      <c r="F102" s="27">
        <f>IFERROR(ROUND(HLOOKUP(Таблица5[[#Headers],[Цена КП]],'WV 4.0'!$A:$N,ROW('WV 4.0'!91:91),0),0),"")</f>
        <v>0</v>
      </c>
      <c r="G102" s="27">
        <f>IFERROR(Таблица5[[#This Row],[Цена КП]]*Таблица5[[#This Row],[Кол-во]],"")</f>
        <v>0</v>
      </c>
      <c r="H102" s="42">
        <f>IFERROR(HLOOKUP(Таблица5[[#Headers],[Комментарии]],'WV 4.0'!$A:$N,ROW('WV 4.0'!91:91),0),"")</f>
        <v>0</v>
      </c>
      <c r="I102" s="42">
        <f>IFERROR(HLOOKUP(Таблица5[[#Headers],[Срок поставки]],'WV 4.0'!$A:$N,ROW('WV 4.0'!91:91),0),"")</f>
        <v>0</v>
      </c>
      <c r="J102" s="27" t="str">
        <f>IFERROR(HLOOKUP(Таблица5[[#Headers],[Цена КазНИИСА]],'WV 4.0'!$A:$N,ROW('WV 4.0'!91:91),0),"")</f>
        <v/>
      </c>
      <c r="K102" s="27" t="str">
        <f>IFERROR(HLOOKUP(Таблица5[[#Headers],[Сумма КазНИИСА]],'WV 4.0'!$A:$N,ROW('WV 4.0'!91:91),0),"")</f>
        <v/>
      </c>
      <c r="L102" s="27">
        <f>IFERROR(HLOOKUP(Таблица5[[#Headers],[Код КазНИИСА]],'WV 4.0'!$A:$N,ROW('WV 4.0'!91:91),0),"")</f>
        <v>0</v>
      </c>
      <c r="M102" s="27" t="str">
        <f>IFERROR(HLOOKUP(Таблица5[[#Headers],[РРЦ в тнг]],'WV 4.0'!$A:$N,ROW('WV 4.0'!91:91),0),"")</f>
        <v/>
      </c>
      <c r="N102" s="27" t="str">
        <f>IFERROR(HLOOKUP(Таблица5[[#Headers],[Сумма РРЦ]],'WV 4.0'!$A:$N,ROW('WV 4.0'!91:91),0),"")</f>
        <v/>
      </c>
    </row>
    <row r="103" spans="1:14" x14ac:dyDescent="0.25">
      <c r="A103" s="29">
        <f>IFERROR('WV 4.0'!A92, " ")</f>
        <v>0</v>
      </c>
      <c r="B103" s="29">
        <f>IFERROR('WV 4.0'!B92, " ")</f>
        <v>0</v>
      </c>
      <c r="C103" s="29">
        <f>IFERROR('WV 4.0'!C92, " ")</f>
        <v>0</v>
      </c>
      <c r="D103" s="29">
        <f>IFERROR('WV 4.0'!D92, " ")</f>
        <v>0</v>
      </c>
      <c r="E103" s="29">
        <f>IFERROR('WV 4.0'!E92, " ")</f>
        <v>0</v>
      </c>
      <c r="F103" s="27">
        <f>IFERROR(ROUND(HLOOKUP(Таблица5[[#Headers],[Цена КП]],'WV 4.0'!$A:$N,ROW('WV 4.0'!92:92),0),0),"")</f>
        <v>0</v>
      </c>
      <c r="G103" s="27">
        <f>IFERROR(Таблица5[[#This Row],[Цена КП]]*Таблица5[[#This Row],[Кол-во]],"")</f>
        <v>0</v>
      </c>
      <c r="H103" s="42">
        <f>IFERROR(HLOOKUP(Таблица5[[#Headers],[Комментарии]],'WV 4.0'!$A:$N,ROW('WV 4.0'!92:92),0),"")</f>
        <v>0</v>
      </c>
      <c r="I103" s="42">
        <f>IFERROR(HLOOKUP(Таблица5[[#Headers],[Срок поставки]],'WV 4.0'!$A:$N,ROW('WV 4.0'!92:92),0),"")</f>
        <v>0</v>
      </c>
      <c r="J103" s="27" t="str">
        <f>IFERROR(HLOOKUP(Таблица5[[#Headers],[Цена КазНИИСА]],'WV 4.0'!$A:$N,ROW('WV 4.0'!92:92),0),"")</f>
        <v/>
      </c>
      <c r="K103" s="27" t="str">
        <f>IFERROR(HLOOKUP(Таблица5[[#Headers],[Сумма КазНИИСА]],'WV 4.0'!$A:$N,ROW('WV 4.0'!92:92),0),"")</f>
        <v/>
      </c>
      <c r="L103" s="27">
        <f>IFERROR(HLOOKUP(Таблица5[[#Headers],[Код КазНИИСА]],'WV 4.0'!$A:$N,ROW('WV 4.0'!92:92),0),"")</f>
        <v>0</v>
      </c>
      <c r="M103" s="27" t="str">
        <f>IFERROR(HLOOKUP(Таблица5[[#Headers],[РРЦ в тнг]],'WV 4.0'!$A:$N,ROW('WV 4.0'!92:92),0),"")</f>
        <v/>
      </c>
      <c r="N103" s="27" t="str">
        <f>IFERROR(HLOOKUP(Таблица5[[#Headers],[Сумма РРЦ]],'WV 4.0'!$A:$N,ROW('WV 4.0'!92:92),0),"")</f>
        <v/>
      </c>
    </row>
    <row r="104" spans="1:14" x14ac:dyDescent="0.25">
      <c r="A104" s="29">
        <f>IFERROR('WV 4.0'!A93, " ")</f>
        <v>0</v>
      </c>
      <c r="B104" s="29">
        <f>IFERROR('WV 4.0'!B93, " ")</f>
        <v>0</v>
      </c>
      <c r="C104" s="29">
        <f>IFERROR('WV 4.0'!C93, " ")</f>
        <v>0</v>
      </c>
      <c r="D104" s="29">
        <f>IFERROR('WV 4.0'!D93, " ")</f>
        <v>0</v>
      </c>
      <c r="E104" s="29">
        <f>IFERROR('WV 4.0'!E93, " ")</f>
        <v>0</v>
      </c>
      <c r="F104" s="27">
        <f>IFERROR(ROUND(HLOOKUP(Таблица5[[#Headers],[Цена КП]],'WV 4.0'!$A:$N,ROW('WV 4.0'!93:93),0),0),"")</f>
        <v>0</v>
      </c>
      <c r="G104" s="27">
        <f>IFERROR(Таблица5[[#This Row],[Цена КП]]*Таблица5[[#This Row],[Кол-во]],"")</f>
        <v>0</v>
      </c>
      <c r="H104" s="42">
        <f>IFERROR(HLOOKUP(Таблица5[[#Headers],[Комментарии]],'WV 4.0'!$A:$N,ROW('WV 4.0'!93:93),0),"")</f>
        <v>0</v>
      </c>
      <c r="I104" s="42">
        <f>IFERROR(HLOOKUP(Таблица5[[#Headers],[Срок поставки]],'WV 4.0'!$A:$N,ROW('WV 4.0'!93:93),0),"")</f>
        <v>0</v>
      </c>
      <c r="J104" s="27" t="str">
        <f>IFERROR(HLOOKUP(Таблица5[[#Headers],[Цена КазНИИСА]],'WV 4.0'!$A:$N,ROW('WV 4.0'!93:93),0),"")</f>
        <v/>
      </c>
      <c r="K104" s="27" t="str">
        <f>IFERROR(HLOOKUP(Таблица5[[#Headers],[Сумма КазНИИСА]],'WV 4.0'!$A:$N,ROW('WV 4.0'!93:93),0),"")</f>
        <v/>
      </c>
      <c r="L104" s="27">
        <f>IFERROR(HLOOKUP(Таблица5[[#Headers],[Код КазНИИСА]],'WV 4.0'!$A:$N,ROW('WV 4.0'!93:93),0),"")</f>
        <v>0</v>
      </c>
      <c r="M104" s="27" t="str">
        <f>IFERROR(HLOOKUP(Таблица5[[#Headers],[РРЦ в тнг]],'WV 4.0'!$A:$N,ROW('WV 4.0'!93:93),0),"")</f>
        <v/>
      </c>
      <c r="N104" s="27" t="str">
        <f>IFERROR(HLOOKUP(Таблица5[[#Headers],[Сумма РРЦ]],'WV 4.0'!$A:$N,ROW('WV 4.0'!93:93),0),"")</f>
        <v/>
      </c>
    </row>
    <row r="105" spans="1:14" x14ac:dyDescent="0.25">
      <c r="A105" s="29">
        <f>IFERROR('WV 4.0'!A94, " ")</f>
        <v>0</v>
      </c>
      <c r="B105" s="29">
        <f>IFERROR('WV 4.0'!B94, " ")</f>
        <v>0</v>
      </c>
      <c r="C105" s="29">
        <f>IFERROR('WV 4.0'!C94, " ")</f>
        <v>0</v>
      </c>
      <c r="D105" s="29">
        <f>IFERROR('WV 4.0'!D94, " ")</f>
        <v>0</v>
      </c>
      <c r="E105" s="29">
        <f>IFERROR('WV 4.0'!E94, " ")</f>
        <v>0</v>
      </c>
      <c r="F105" s="27">
        <f>IFERROR(ROUND(HLOOKUP(Таблица5[[#Headers],[Цена КП]],'WV 4.0'!$A:$N,ROW('WV 4.0'!94:94),0),0),"")</f>
        <v>0</v>
      </c>
      <c r="G105" s="27">
        <f>IFERROR(Таблица5[[#This Row],[Цена КП]]*Таблица5[[#This Row],[Кол-во]],"")</f>
        <v>0</v>
      </c>
      <c r="H105" s="42">
        <f>IFERROR(HLOOKUP(Таблица5[[#Headers],[Комментарии]],'WV 4.0'!$A:$N,ROW('WV 4.0'!94:94),0),"")</f>
        <v>0</v>
      </c>
      <c r="I105" s="42">
        <f>IFERROR(HLOOKUP(Таблица5[[#Headers],[Срок поставки]],'WV 4.0'!$A:$N,ROW('WV 4.0'!94:94),0),"")</f>
        <v>0</v>
      </c>
      <c r="J105" s="27" t="str">
        <f>IFERROR(HLOOKUP(Таблица5[[#Headers],[Цена КазНИИСА]],'WV 4.0'!$A:$N,ROW('WV 4.0'!94:94),0),"")</f>
        <v/>
      </c>
      <c r="K105" s="27" t="str">
        <f>IFERROR(HLOOKUP(Таблица5[[#Headers],[Сумма КазНИИСА]],'WV 4.0'!$A:$N,ROW('WV 4.0'!94:94),0),"")</f>
        <v/>
      </c>
      <c r="L105" s="27">
        <f>IFERROR(HLOOKUP(Таблица5[[#Headers],[Код КазНИИСА]],'WV 4.0'!$A:$N,ROW('WV 4.0'!94:94),0),"")</f>
        <v>0</v>
      </c>
      <c r="M105" s="27" t="str">
        <f>IFERROR(HLOOKUP(Таблица5[[#Headers],[РРЦ в тнг]],'WV 4.0'!$A:$N,ROW('WV 4.0'!94:94),0),"")</f>
        <v/>
      </c>
      <c r="N105" s="27" t="str">
        <f>IFERROR(HLOOKUP(Таблица5[[#Headers],[Сумма РРЦ]],'WV 4.0'!$A:$N,ROW('WV 4.0'!94:94),0),"")</f>
        <v/>
      </c>
    </row>
    <row r="106" spans="1:14" x14ac:dyDescent="0.25">
      <c r="A106" s="29">
        <f>IFERROR('WV 4.0'!A95, " ")</f>
        <v>0</v>
      </c>
      <c r="B106" s="29">
        <f>IFERROR('WV 4.0'!B95, " ")</f>
        <v>0</v>
      </c>
      <c r="C106" s="29">
        <f>IFERROR('WV 4.0'!C95, " ")</f>
        <v>0</v>
      </c>
      <c r="D106" s="29">
        <f>IFERROR('WV 4.0'!D95, " ")</f>
        <v>0</v>
      </c>
      <c r="E106" s="29">
        <f>IFERROR('WV 4.0'!E95, " ")</f>
        <v>0</v>
      </c>
      <c r="F106" s="27">
        <f>IFERROR(ROUND(HLOOKUP(Таблица5[[#Headers],[Цена КП]],'WV 4.0'!$A:$N,ROW('WV 4.0'!95:95),0),0),"")</f>
        <v>0</v>
      </c>
      <c r="G106" s="27">
        <f>IFERROR(Таблица5[[#This Row],[Цена КП]]*Таблица5[[#This Row],[Кол-во]],"")</f>
        <v>0</v>
      </c>
      <c r="H106" s="42">
        <f>IFERROR(HLOOKUP(Таблица5[[#Headers],[Комментарии]],'WV 4.0'!$A:$N,ROW('WV 4.0'!95:95),0),"")</f>
        <v>0</v>
      </c>
      <c r="I106" s="42">
        <f>IFERROR(HLOOKUP(Таблица5[[#Headers],[Срок поставки]],'WV 4.0'!$A:$N,ROW('WV 4.0'!95:95),0),"")</f>
        <v>0</v>
      </c>
      <c r="J106" s="27" t="str">
        <f>IFERROR(HLOOKUP(Таблица5[[#Headers],[Цена КазНИИСА]],'WV 4.0'!$A:$N,ROW('WV 4.0'!95:95),0),"")</f>
        <v/>
      </c>
      <c r="K106" s="27" t="str">
        <f>IFERROR(HLOOKUP(Таблица5[[#Headers],[Сумма КазНИИСА]],'WV 4.0'!$A:$N,ROW('WV 4.0'!95:95),0),"")</f>
        <v/>
      </c>
      <c r="L106" s="27">
        <f>IFERROR(HLOOKUP(Таблица5[[#Headers],[Код КазНИИСА]],'WV 4.0'!$A:$N,ROW('WV 4.0'!95:95),0),"")</f>
        <v>0</v>
      </c>
      <c r="M106" s="27" t="str">
        <f>IFERROR(HLOOKUP(Таблица5[[#Headers],[РРЦ в тнг]],'WV 4.0'!$A:$N,ROW('WV 4.0'!95:95),0),"")</f>
        <v/>
      </c>
      <c r="N106" s="27" t="str">
        <f>IFERROR(HLOOKUP(Таблица5[[#Headers],[Сумма РРЦ]],'WV 4.0'!$A:$N,ROW('WV 4.0'!95:95),0),"")</f>
        <v/>
      </c>
    </row>
    <row r="107" spans="1:14" x14ac:dyDescent="0.25">
      <c r="A107" s="29">
        <f>IFERROR('WV 4.0'!A96, " ")</f>
        <v>0</v>
      </c>
      <c r="B107" s="29">
        <f>IFERROR('WV 4.0'!B96, " ")</f>
        <v>0</v>
      </c>
      <c r="C107" s="29">
        <f>IFERROR('WV 4.0'!C96, " ")</f>
        <v>0</v>
      </c>
      <c r="D107" s="29">
        <f>IFERROR('WV 4.0'!D96, " ")</f>
        <v>0</v>
      </c>
      <c r="E107" s="29">
        <f>IFERROR('WV 4.0'!E96, " ")</f>
        <v>0</v>
      </c>
      <c r="F107" s="27">
        <f>IFERROR(ROUND(HLOOKUP(Таблица5[[#Headers],[Цена КП]],'WV 4.0'!$A:$N,ROW('WV 4.0'!96:96),0),0),"")</f>
        <v>0</v>
      </c>
      <c r="G107" s="27">
        <f>IFERROR(Таблица5[[#This Row],[Цена КП]]*Таблица5[[#This Row],[Кол-во]],"")</f>
        <v>0</v>
      </c>
      <c r="H107" s="42">
        <f>IFERROR(HLOOKUP(Таблица5[[#Headers],[Комментарии]],'WV 4.0'!$A:$N,ROW('WV 4.0'!96:96),0),"")</f>
        <v>0</v>
      </c>
      <c r="I107" s="42">
        <f>IFERROR(HLOOKUP(Таблица5[[#Headers],[Срок поставки]],'WV 4.0'!$A:$N,ROW('WV 4.0'!96:96),0),"")</f>
        <v>0</v>
      </c>
      <c r="J107" s="27" t="str">
        <f>IFERROR(HLOOKUP(Таблица5[[#Headers],[Цена КазНИИСА]],'WV 4.0'!$A:$N,ROW('WV 4.0'!96:96),0),"")</f>
        <v/>
      </c>
      <c r="K107" s="27" t="str">
        <f>IFERROR(HLOOKUP(Таблица5[[#Headers],[Сумма КазНИИСА]],'WV 4.0'!$A:$N,ROW('WV 4.0'!96:96),0),"")</f>
        <v/>
      </c>
      <c r="L107" s="27">
        <f>IFERROR(HLOOKUP(Таблица5[[#Headers],[Код КазНИИСА]],'WV 4.0'!$A:$N,ROW('WV 4.0'!96:96),0),"")</f>
        <v>0</v>
      </c>
      <c r="M107" s="27" t="str">
        <f>IFERROR(HLOOKUP(Таблица5[[#Headers],[РРЦ в тнг]],'WV 4.0'!$A:$N,ROW('WV 4.0'!96:96),0),"")</f>
        <v/>
      </c>
      <c r="N107" s="27" t="str">
        <f>IFERROR(HLOOKUP(Таблица5[[#Headers],[Сумма РРЦ]],'WV 4.0'!$A:$N,ROW('WV 4.0'!96:96),0),"")</f>
        <v/>
      </c>
    </row>
    <row r="108" spans="1:14" x14ac:dyDescent="0.25">
      <c r="A108" s="29">
        <f>IFERROR('WV 4.0'!A97, " ")</f>
        <v>0</v>
      </c>
      <c r="B108" s="29">
        <f>IFERROR('WV 4.0'!B97, " ")</f>
        <v>0</v>
      </c>
      <c r="C108" s="29">
        <f>IFERROR('WV 4.0'!C97, " ")</f>
        <v>0</v>
      </c>
      <c r="D108" s="29">
        <f>IFERROR('WV 4.0'!D97, " ")</f>
        <v>0</v>
      </c>
      <c r="E108" s="29">
        <f>IFERROR('WV 4.0'!E97, " ")</f>
        <v>0</v>
      </c>
      <c r="F108" s="27">
        <f>IFERROR(ROUND(HLOOKUP(Таблица5[[#Headers],[Цена КП]],'WV 4.0'!$A:$N,ROW('WV 4.0'!97:97),0),0),"")</f>
        <v>0</v>
      </c>
      <c r="G108" s="27">
        <f>IFERROR(Таблица5[[#This Row],[Цена КП]]*Таблица5[[#This Row],[Кол-во]],"")</f>
        <v>0</v>
      </c>
      <c r="H108" s="42">
        <f>IFERROR(HLOOKUP(Таблица5[[#Headers],[Комментарии]],'WV 4.0'!$A:$N,ROW('WV 4.0'!97:97),0),"")</f>
        <v>0</v>
      </c>
      <c r="I108" s="42">
        <f>IFERROR(HLOOKUP(Таблица5[[#Headers],[Срок поставки]],'WV 4.0'!$A:$N,ROW('WV 4.0'!97:97),0),"")</f>
        <v>0</v>
      </c>
      <c r="J108" s="27" t="str">
        <f>IFERROR(HLOOKUP(Таблица5[[#Headers],[Цена КазНИИСА]],'WV 4.0'!$A:$N,ROW('WV 4.0'!97:97),0),"")</f>
        <v/>
      </c>
      <c r="K108" s="27" t="str">
        <f>IFERROR(HLOOKUP(Таблица5[[#Headers],[Сумма КазНИИСА]],'WV 4.0'!$A:$N,ROW('WV 4.0'!97:97),0),"")</f>
        <v/>
      </c>
      <c r="L108" s="27">
        <f>IFERROR(HLOOKUP(Таблица5[[#Headers],[Код КазНИИСА]],'WV 4.0'!$A:$N,ROW('WV 4.0'!97:97),0),"")</f>
        <v>0</v>
      </c>
      <c r="M108" s="27" t="str">
        <f>IFERROR(HLOOKUP(Таблица5[[#Headers],[РРЦ в тнг]],'WV 4.0'!$A:$N,ROW('WV 4.0'!97:97),0),"")</f>
        <v/>
      </c>
      <c r="N108" s="27" t="str">
        <f>IFERROR(HLOOKUP(Таблица5[[#Headers],[Сумма РРЦ]],'WV 4.0'!$A:$N,ROW('WV 4.0'!97:97),0),"")</f>
        <v/>
      </c>
    </row>
    <row r="109" spans="1:14" x14ac:dyDescent="0.25">
      <c r="A109" s="29">
        <f>IFERROR('WV 4.0'!A98, " ")</f>
        <v>0</v>
      </c>
      <c r="B109" s="29">
        <f>IFERROR('WV 4.0'!B98, " ")</f>
        <v>0</v>
      </c>
      <c r="C109" s="29">
        <f>IFERROR('WV 4.0'!C98, " ")</f>
        <v>0</v>
      </c>
      <c r="D109" s="29">
        <f>IFERROR('WV 4.0'!D98, " ")</f>
        <v>0</v>
      </c>
      <c r="E109" s="29">
        <f>IFERROR('WV 4.0'!E98, " ")</f>
        <v>0</v>
      </c>
      <c r="F109" s="27">
        <f>IFERROR(ROUND(HLOOKUP(Таблица5[[#Headers],[Цена КП]],'WV 4.0'!$A:$N,ROW('WV 4.0'!98:98),0),0),"")</f>
        <v>0</v>
      </c>
      <c r="G109" s="27">
        <f>IFERROR(Таблица5[[#This Row],[Цена КП]]*Таблица5[[#This Row],[Кол-во]],"")</f>
        <v>0</v>
      </c>
      <c r="H109" s="42">
        <f>IFERROR(HLOOKUP(Таблица5[[#Headers],[Комментарии]],'WV 4.0'!$A:$N,ROW('WV 4.0'!98:98),0),"")</f>
        <v>0</v>
      </c>
      <c r="I109" s="42">
        <f>IFERROR(HLOOKUP(Таблица5[[#Headers],[Срок поставки]],'WV 4.0'!$A:$N,ROW('WV 4.0'!98:98),0),"")</f>
        <v>0</v>
      </c>
      <c r="J109" s="27" t="str">
        <f>IFERROR(HLOOKUP(Таблица5[[#Headers],[Цена КазНИИСА]],'WV 4.0'!$A:$N,ROW('WV 4.0'!98:98),0),"")</f>
        <v/>
      </c>
      <c r="K109" s="27" t="str">
        <f>IFERROR(HLOOKUP(Таблица5[[#Headers],[Сумма КазНИИСА]],'WV 4.0'!$A:$N,ROW('WV 4.0'!98:98),0),"")</f>
        <v/>
      </c>
      <c r="L109" s="27">
        <f>IFERROR(HLOOKUP(Таблица5[[#Headers],[Код КазНИИСА]],'WV 4.0'!$A:$N,ROW('WV 4.0'!98:98),0),"")</f>
        <v>0</v>
      </c>
      <c r="M109" s="27" t="str">
        <f>IFERROR(HLOOKUP(Таблица5[[#Headers],[РРЦ в тнг]],'WV 4.0'!$A:$N,ROW('WV 4.0'!98:98),0),"")</f>
        <v/>
      </c>
      <c r="N109" s="27" t="str">
        <f>IFERROR(HLOOKUP(Таблица5[[#Headers],[Сумма РРЦ]],'WV 4.0'!$A:$N,ROW('WV 4.0'!98:98),0),"")</f>
        <v/>
      </c>
    </row>
    <row r="110" spans="1:14" x14ac:dyDescent="0.25">
      <c r="A110" s="29">
        <f>IFERROR('WV 4.0'!A99, " ")</f>
        <v>0</v>
      </c>
      <c r="B110" s="29">
        <f>IFERROR('WV 4.0'!B99, " ")</f>
        <v>0</v>
      </c>
      <c r="C110" s="29">
        <f>IFERROR('WV 4.0'!C99, " ")</f>
        <v>0</v>
      </c>
      <c r="D110" s="29">
        <f>IFERROR('WV 4.0'!D99, " ")</f>
        <v>0</v>
      </c>
      <c r="E110" s="29">
        <f>IFERROR('WV 4.0'!E99, " ")</f>
        <v>0</v>
      </c>
      <c r="F110" s="27">
        <f>IFERROR(ROUND(HLOOKUP(Таблица5[[#Headers],[Цена КП]],'WV 4.0'!$A:$N,ROW('WV 4.0'!99:99),0),0),"")</f>
        <v>0</v>
      </c>
      <c r="G110" s="27">
        <f>IFERROR(Таблица5[[#This Row],[Цена КП]]*Таблица5[[#This Row],[Кол-во]],"")</f>
        <v>0</v>
      </c>
      <c r="H110" s="42">
        <f>IFERROR(HLOOKUP(Таблица5[[#Headers],[Комментарии]],'WV 4.0'!$A:$N,ROW('WV 4.0'!99:99),0),"")</f>
        <v>0</v>
      </c>
      <c r="I110" s="42">
        <f>IFERROR(HLOOKUP(Таблица5[[#Headers],[Срок поставки]],'WV 4.0'!$A:$N,ROW('WV 4.0'!99:99),0),"")</f>
        <v>0</v>
      </c>
      <c r="J110" s="27" t="str">
        <f>IFERROR(HLOOKUP(Таблица5[[#Headers],[Цена КазНИИСА]],'WV 4.0'!$A:$N,ROW('WV 4.0'!99:99),0),"")</f>
        <v/>
      </c>
      <c r="K110" s="27" t="str">
        <f>IFERROR(HLOOKUP(Таблица5[[#Headers],[Сумма КазНИИСА]],'WV 4.0'!$A:$N,ROW('WV 4.0'!99:99),0),"")</f>
        <v/>
      </c>
      <c r="L110" s="27">
        <f>IFERROR(HLOOKUP(Таблица5[[#Headers],[Код КазНИИСА]],'WV 4.0'!$A:$N,ROW('WV 4.0'!99:99),0),"")</f>
        <v>0</v>
      </c>
      <c r="M110" s="27" t="str">
        <f>IFERROR(HLOOKUP(Таблица5[[#Headers],[РРЦ в тнг]],'WV 4.0'!$A:$N,ROW('WV 4.0'!99:99),0),"")</f>
        <v/>
      </c>
      <c r="N110" s="27" t="str">
        <f>IFERROR(HLOOKUP(Таблица5[[#Headers],[Сумма РРЦ]],'WV 4.0'!$A:$N,ROW('WV 4.0'!99:99),0),"")</f>
        <v/>
      </c>
    </row>
    <row r="111" spans="1:14" x14ac:dyDescent="0.25">
      <c r="A111" s="29">
        <f>IFERROR('WV 4.0'!A100, " ")</f>
        <v>0</v>
      </c>
      <c r="B111" s="29">
        <f>IFERROR('WV 4.0'!B100, " ")</f>
        <v>0</v>
      </c>
      <c r="C111" s="29">
        <f>IFERROR('WV 4.0'!C100, " ")</f>
        <v>0</v>
      </c>
      <c r="D111" s="29">
        <f>IFERROR('WV 4.0'!D100, " ")</f>
        <v>0</v>
      </c>
      <c r="E111" s="29">
        <f>IFERROR('WV 4.0'!E100, " ")</f>
        <v>0</v>
      </c>
      <c r="F111" s="27">
        <f>IFERROR(ROUND(HLOOKUP(Таблица5[[#Headers],[Цена КП]],'WV 4.0'!$A:$N,ROW('WV 4.0'!100:100),0),0),"")</f>
        <v>0</v>
      </c>
      <c r="G111" s="27">
        <f>IFERROR(Таблица5[[#This Row],[Цена КП]]*Таблица5[[#This Row],[Кол-во]],"")</f>
        <v>0</v>
      </c>
      <c r="H111" s="42">
        <f>IFERROR(HLOOKUP(Таблица5[[#Headers],[Комментарии]],'WV 4.0'!$A:$N,ROW('WV 4.0'!100:100),0),"")</f>
        <v>0</v>
      </c>
      <c r="I111" s="42">
        <f>IFERROR(HLOOKUP(Таблица5[[#Headers],[Срок поставки]],'WV 4.0'!$A:$N,ROW('WV 4.0'!100:100),0),"")</f>
        <v>0</v>
      </c>
      <c r="J111" s="27" t="str">
        <f>IFERROR(HLOOKUP(Таблица5[[#Headers],[Цена КазНИИСА]],'WV 4.0'!$A:$N,ROW('WV 4.0'!100:100),0),"")</f>
        <v/>
      </c>
      <c r="K111" s="27" t="str">
        <f>IFERROR(HLOOKUP(Таблица5[[#Headers],[Сумма КазНИИСА]],'WV 4.0'!$A:$N,ROW('WV 4.0'!100:100),0),"")</f>
        <v/>
      </c>
      <c r="L111" s="27">
        <f>IFERROR(HLOOKUP(Таблица5[[#Headers],[Код КазНИИСА]],'WV 4.0'!$A:$N,ROW('WV 4.0'!100:100),0),"")</f>
        <v>0</v>
      </c>
      <c r="M111" s="27" t="str">
        <f>IFERROR(HLOOKUP(Таблица5[[#Headers],[РРЦ в тнг]],'WV 4.0'!$A:$N,ROW('WV 4.0'!100:100),0),"")</f>
        <v/>
      </c>
      <c r="N111" s="27" t="str">
        <f>IFERROR(HLOOKUP(Таблица5[[#Headers],[Сумма РРЦ]],'WV 4.0'!$A:$N,ROW('WV 4.0'!100:100),0),"")</f>
        <v/>
      </c>
    </row>
    <row r="112" spans="1:14" x14ac:dyDescent="0.25">
      <c r="A112" s="29">
        <f>IFERROR('WV 4.0'!A101, " ")</f>
        <v>0</v>
      </c>
      <c r="B112" s="29">
        <f>IFERROR('WV 4.0'!B101, " ")</f>
        <v>0</v>
      </c>
      <c r="C112" s="29">
        <f>IFERROR('WV 4.0'!C101, " ")</f>
        <v>0</v>
      </c>
      <c r="D112" s="29">
        <f>IFERROR('WV 4.0'!D101, " ")</f>
        <v>0</v>
      </c>
      <c r="E112" s="29">
        <f>IFERROR('WV 4.0'!E101, " ")</f>
        <v>0</v>
      </c>
      <c r="F112" s="27">
        <f>IFERROR(ROUND(HLOOKUP(Таблица5[[#Headers],[Цена КП]],'WV 4.0'!$A:$N,ROW('WV 4.0'!101:101),0),0),"")</f>
        <v>0</v>
      </c>
      <c r="G112" s="27">
        <f>IFERROR(Таблица5[[#This Row],[Цена КП]]*Таблица5[[#This Row],[Кол-во]],"")</f>
        <v>0</v>
      </c>
      <c r="H112" s="42">
        <f>IFERROR(HLOOKUP(Таблица5[[#Headers],[Комментарии]],'WV 4.0'!$A:$N,ROW('WV 4.0'!101:101),0),"")</f>
        <v>0</v>
      </c>
      <c r="I112" s="42">
        <f>IFERROR(HLOOKUP(Таблица5[[#Headers],[Срок поставки]],'WV 4.0'!$A:$N,ROW('WV 4.0'!101:101),0),"")</f>
        <v>0</v>
      </c>
      <c r="J112" s="27" t="str">
        <f>IFERROR(HLOOKUP(Таблица5[[#Headers],[Цена КазНИИСА]],'WV 4.0'!$A:$N,ROW('WV 4.0'!101:101),0),"")</f>
        <v/>
      </c>
      <c r="K112" s="27" t="str">
        <f>IFERROR(HLOOKUP(Таблица5[[#Headers],[Сумма КазНИИСА]],'WV 4.0'!$A:$N,ROW('WV 4.0'!101:101),0),"")</f>
        <v/>
      </c>
      <c r="L112" s="27">
        <f>IFERROR(HLOOKUP(Таблица5[[#Headers],[Код КазНИИСА]],'WV 4.0'!$A:$N,ROW('WV 4.0'!101:101),0),"")</f>
        <v>0</v>
      </c>
      <c r="M112" s="27" t="str">
        <f>IFERROR(HLOOKUP(Таблица5[[#Headers],[РРЦ в тнг]],'WV 4.0'!$A:$N,ROW('WV 4.0'!101:101),0),"")</f>
        <v/>
      </c>
      <c r="N112" s="27" t="str">
        <f>IFERROR(HLOOKUP(Таблица5[[#Headers],[Сумма РРЦ]],'WV 4.0'!$A:$N,ROW('WV 4.0'!101:101),0),"")</f>
        <v/>
      </c>
    </row>
    <row r="113" spans="1:14" x14ac:dyDescent="0.25">
      <c r="A113" s="29">
        <f>IFERROR('WV 4.0'!A102, " ")</f>
        <v>0</v>
      </c>
      <c r="B113" s="29">
        <f>IFERROR('WV 4.0'!B102, " ")</f>
        <v>0</v>
      </c>
      <c r="C113" s="29">
        <f>IFERROR('WV 4.0'!C102, " ")</f>
        <v>0</v>
      </c>
      <c r="D113" s="29">
        <f>IFERROR('WV 4.0'!D102, " ")</f>
        <v>0</v>
      </c>
      <c r="E113" s="29">
        <f>IFERROR('WV 4.0'!E102, " ")</f>
        <v>0</v>
      </c>
      <c r="F113" s="27">
        <f>IFERROR(ROUND(HLOOKUP(Таблица5[[#Headers],[Цена КП]],'WV 4.0'!$A:$N,ROW('WV 4.0'!102:102),0),0),"")</f>
        <v>0</v>
      </c>
      <c r="G113" s="27">
        <f>IFERROR(Таблица5[[#This Row],[Цена КП]]*Таблица5[[#This Row],[Кол-во]],"")</f>
        <v>0</v>
      </c>
      <c r="H113" s="42">
        <f>IFERROR(HLOOKUP(Таблица5[[#Headers],[Комментарии]],'WV 4.0'!$A:$N,ROW('WV 4.0'!102:102),0),"")</f>
        <v>0</v>
      </c>
      <c r="I113" s="42">
        <f>IFERROR(HLOOKUP(Таблица5[[#Headers],[Срок поставки]],'WV 4.0'!$A:$N,ROW('WV 4.0'!102:102),0),"")</f>
        <v>0</v>
      </c>
      <c r="J113" s="27" t="str">
        <f>IFERROR(HLOOKUP(Таблица5[[#Headers],[Цена КазНИИСА]],'WV 4.0'!$A:$N,ROW('WV 4.0'!102:102),0),"")</f>
        <v/>
      </c>
      <c r="K113" s="27" t="str">
        <f>IFERROR(HLOOKUP(Таблица5[[#Headers],[Сумма КазНИИСА]],'WV 4.0'!$A:$N,ROW('WV 4.0'!102:102),0),"")</f>
        <v/>
      </c>
      <c r="L113" s="27">
        <f>IFERROR(HLOOKUP(Таблица5[[#Headers],[Код КазНИИСА]],'WV 4.0'!$A:$N,ROW('WV 4.0'!102:102),0),"")</f>
        <v>0</v>
      </c>
      <c r="M113" s="27" t="str">
        <f>IFERROR(HLOOKUP(Таблица5[[#Headers],[РРЦ в тнг]],'WV 4.0'!$A:$N,ROW('WV 4.0'!102:102),0),"")</f>
        <v/>
      </c>
      <c r="N113" s="27" t="str">
        <f>IFERROR(HLOOKUP(Таблица5[[#Headers],[Сумма РРЦ]],'WV 4.0'!$A:$N,ROW('WV 4.0'!102:102),0),"")</f>
        <v/>
      </c>
    </row>
    <row r="114" spans="1:14" s="13" customFormat="1" x14ac:dyDescent="0.3">
      <c r="A114" s="29">
        <f>IFERROR('WV 4.0'!A103, " ")</f>
        <v>0</v>
      </c>
      <c r="B114" s="29">
        <f>IFERROR('WV 4.0'!B103, " ")</f>
        <v>0</v>
      </c>
      <c r="C114" s="29">
        <f>IFERROR('WV 4.0'!C103, " ")</f>
        <v>0</v>
      </c>
      <c r="D114" s="29">
        <f>IFERROR('WV 4.0'!D103, " ")</f>
        <v>0</v>
      </c>
      <c r="E114" s="29">
        <f>IFERROR('WV 4.0'!E103, " ")</f>
        <v>0</v>
      </c>
      <c r="F114" s="27">
        <f>IFERROR(ROUND(HLOOKUP(Таблица5[[#Headers],[Цена КП]],'WV 4.0'!$A:$N,ROW('WV 4.0'!103:103),0),0),"")</f>
        <v>0</v>
      </c>
      <c r="G114" s="27">
        <f>IFERROR(Таблица5[[#This Row],[Цена КП]]*Таблица5[[#This Row],[Кол-во]],"")</f>
        <v>0</v>
      </c>
      <c r="H114" s="42">
        <f>IFERROR(HLOOKUP(Таблица5[[#Headers],[Комментарии]],'WV 4.0'!$A:$N,ROW('WV 4.0'!103:103),0),"")</f>
        <v>0</v>
      </c>
      <c r="I114" s="42">
        <f>IFERROR(HLOOKUP(Таблица5[[#Headers],[Срок поставки]],'WV 4.0'!$A:$N,ROW('WV 4.0'!103:103),0),"")</f>
        <v>0</v>
      </c>
      <c r="J114" s="27" t="str">
        <f>IFERROR(HLOOKUP(Таблица5[[#Headers],[Цена КазНИИСА]],'WV 4.0'!$A:$N,ROW('WV 4.0'!103:103),0),"")</f>
        <v/>
      </c>
      <c r="K114" s="27" t="str">
        <f>IFERROR(HLOOKUP(Таблица5[[#Headers],[Сумма КазНИИСА]],'WV 4.0'!$A:$N,ROW('WV 4.0'!103:103),0),"")</f>
        <v/>
      </c>
      <c r="L114" s="27">
        <f>IFERROR(HLOOKUP(Таблица5[[#Headers],[Код КазНИИСА]],'WV 4.0'!$A:$N,ROW('WV 4.0'!103:103),0),"")</f>
        <v>0</v>
      </c>
      <c r="M114" s="27" t="str">
        <f>IFERROR(HLOOKUP(Таблица5[[#Headers],[РРЦ в тнг]],'WV 4.0'!$A:$N,ROW('WV 4.0'!103:103),0),"")</f>
        <v/>
      </c>
      <c r="N114" s="27" t="str">
        <f>IFERROR(HLOOKUP(Таблица5[[#Headers],[Сумма РРЦ]],'WV 4.0'!$A:$N,ROW('WV 4.0'!103:103),0),"")</f>
        <v/>
      </c>
    </row>
    <row r="115" spans="1:14" s="13" customFormat="1" x14ac:dyDescent="0.3">
      <c r="A115" s="29">
        <f>IFERROR('WV 4.0'!A104, " ")</f>
        <v>0</v>
      </c>
      <c r="B115" s="29">
        <f>IFERROR('WV 4.0'!B104, " ")</f>
        <v>0</v>
      </c>
      <c r="C115" s="29">
        <f>IFERROR('WV 4.0'!C104, " ")</f>
        <v>0</v>
      </c>
      <c r="D115" s="29">
        <f>IFERROR('WV 4.0'!D104, " ")</f>
        <v>0</v>
      </c>
      <c r="E115" s="29">
        <f>IFERROR('WV 4.0'!E104, " ")</f>
        <v>0</v>
      </c>
      <c r="F115" s="27">
        <f>IFERROR(ROUND(HLOOKUP(Таблица5[[#Headers],[Цена КП]],'WV 4.0'!$A:$N,ROW('WV 4.0'!104:104),0),0),"")</f>
        <v>0</v>
      </c>
      <c r="G115" s="27">
        <f>IFERROR(Таблица5[[#This Row],[Цена КП]]*Таблица5[[#This Row],[Кол-во]],"")</f>
        <v>0</v>
      </c>
      <c r="H115" s="42">
        <f>IFERROR(HLOOKUP(Таблица5[[#Headers],[Комментарии]],'WV 4.0'!$A:$N,ROW('WV 4.0'!104:104),0),"")</f>
        <v>0</v>
      </c>
      <c r="I115" s="42">
        <f>IFERROR(HLOOKUP(Таблица5[[#Headers],[Срок поставки]],'WV 4.0'!$A:$N,ROW('WV 4.0'!104:104),0),"")</f>
        <v>0</v>
      </c>
      <c r="J115" s="27" t="str">
        <f>IFERROR(HLOOKUP(Таблица5[[#Headers],[Цена КазНИИСА]],'WV 4.0'!$A:$N,ROW('WV 4.0'!104:104),0),"")</f>
        <v/>
      </c>
      <c r="K115" s="27" t="str">
        <f>IFERROR(HLOOKUP(Таблица5[[#Headers],[Сумма КазНИИСА]],'WV 4.0'!$A:$N,ROW('WV 4.0'!104:104),0),"")</f>
        <v/>
      </c>
      <c r="L115" s="27">
        <f>IFERROR(HLOOKUP(Таблица5[[#Headers],[Код КазНИИСА]],'WV 4.0'!$A:$N,ROW('WV 4.0'!104:104),0),"")</f>
        <v>0</v>
      </c>
      <c r="M115" s="27" t="str">
        <f>IFERROR(HLOOKUP(Таблица5[[#Headers],[РРЦ в тнг]],'WV 4.0'!$A:$N,ROW('WV 4.0'!104:104),0),"")</f>
        <v/>
      </c>
      <c r="N115" s="27" t="str">
        <f>IFERROR(HLOOKUP(Таблица5[[#Headers],[Сумма РРЦ]],'WV 4.0'!$A:$N,ROW('WV 4.0'!104:104),0),"")</f>
        <v/>
      </c>
    </row>
    <row r="116" spans="1:14" s="13" customFormat="1" x14ac:dyDescent="0.3">
      <c r="A116" s="29">
        <f>IFERROR('WV 4.0'!A105, " ")</f>
        <v>0</v>
      </c>
      <c r="B116" s="29">
        <f>IFERROR('WV 4.0'!B105, " ")</f>
        <v>0</v>
      </c>
      <c r="C116" s="29">
        <f>IFERROR('WV 4.0'!C105, " ")</f>
        <v>0</v>
      </c>
      <c r="D116" s="29">
        <f>IFERROR('WV 4.0'!D105, " ")</f>
        <v>0</v>
      </c>
      <c r="E116" s="29">
        <f>IFERROR('WV 4.0'!E105, " ")</f>
        <v>0</v>
      </c>
      <c r="F116" s="27">
        <f>IFERROR(ROUND(HLOOKUP(Таблица5[[#Headers],[Цена КП]],'WV 4.0'!$A:$N,ROW('WV 4.0'!105:105),0),0),"")</f>
        <v>0</v>
      </c>
      <c r="G116" s="27">
        <f>IFERROR(Таблица5[[#This Row],[Цена КП]]*Таблица5[[#This Row],[Кол-во]],"")</f>
        <v>0</v>
      </c>
      <c r="H116" s="42">
        <f>IFERROR(HLOOKUP(Таблица5[[#Headers],[Комментарии]],'WV 4.0'!$A:$N,ROW('WV 4.0'!105:105),0),"")</f>
        <v>0</v>
      </c>
      <c r="I116" s="42">
        <f>IFERROR(HLOOKUP(Таблица5[[#Headers],[Срок поставки]],'WV 4.0'!$A:$N,ROW('WV 4.0'!105:105),0),"")</f>
        <v>0</v>
      </c>
      <c r="J116" s="27" t="str">
        <f>IFERROR(HLOOKUP(Таблица5[[#Headers],[Цена КазНИИСА]],'WV 4.0'!$A:$N,ROW('WV 4.0'!105:105),0),"")</f>
        <v/>
      </c>
      <c r="K116" s="27" t="str">
        <f>IFERROR(HLOOKUP(Таблица5[[#Headers],[Сумма КазНИИСА]],'WV 4.0'!$A:$N,ROW('WV 4.0'!105:105),0),"")</f>
        <v/>
      </c>
      <c r="L116" s="27">
        <f>IFERROR(HLOOKUP(Таблица5[[#Headers],[Код КазНИИСА]],'WV 4.0'!$A:$N,ROW('WV 4.0'!105:105),0),"")</f>
        <v>0</v>
      </c>
      <c r="M116" s="27" t="str">
        <f>IFERROR(HLOOKUP(Таблица5[[#Headers],[РРЦ в тнг]],'WV 4.0'!$A:$N,ROW('WV 4.0'!105:105),0),"")</f>
        <v/>
      </c>
      <c r="N116" s="27" t="str">
        <f>IFERROR(HLOOKUP(Таблица5[[#Headers],[Сумма РРЦ]],'WV 4.0'!$A:$N,ROW('WV 4.0'!105:105),0),"")</f>
        <v/>
      </c>
    </row>
    <row r="117" spans="1:14" s="13" customFormat="1" x14ac:dyDescent="0.3">
      <c r="A117" s="29">
        <f>IFERROR('WV 4.0'!A106, " ")</f>
        <v>0</v>
      </c>
      <c r="B117" s="29">
        <f>IFERROR('WV 4.0'!B106, " ")</f>
        <v>0</v>
      </c>
      <c r="C117" s="29">
        <f>IFERROR('WV 4.0'!C106, " ")</f>
        <v>0</v>
      </c>
      <c r="D117" s="29">
        <f>IFERROR('WV 4.0'!D106, " ")</f>
        <v>0</v>
      </c>
      <c r="E117" s="29">
        <f>IFERROR('WV 4.0'!E106, " ")</f>
        <v>0</v>
      </c>
      <c r="F117" s="27">
        <f>IFERROR(ROUND(HLOOKUP(Таблица5[[#Headers],[Цена КП]],'WV 4.0'!$A:$N,ROW('WV 4.0'!106:106),0),0),"")</f>
        <v>0</v>
      </c>
      <c r="G117" s="27">
        <f>IFERROR(Таблица5[[#This Row],[Цена КП]]*Таблица5[[#This Row],[Кол-во]],"")</f>
        <v>0</v>
      </c>
      <c r="H117" s="42">
        <f>IFERROR(HLOOKUP(Таблица5[[#Headers],[Комментарии]],'WV 4.0'!$A:$N,ROW('WV 4.0'!106:106),0),"")</f>
        <v>0</v>
      </c>
      <c r="I117" s="42">
        <f>IFERROR(HLOOKUP(Таблица5[[#Headers],[Срок поставки]],'WV 4.0'!$A:$N,ROW('WV 4.0'!106:106),0),"")</f>
        <v>0</v>
      </c>
      <c r="J117" s="27" t="str">
        <f>IFERROR(HLOOKUP(Таблица5[[#Headers],[Цена КазНИИСА]],'WV 4.0'!$A:$N,ROW('WV 4.0'!106:106),0),"")</f>
        <v/>
      </c>
      <c r="K117" s="27" t="str">
        <f>IFERROR(HLOOKUP(Таблица5[[#Headers],[Сумма КазНИИСА]],'WV 4.0'!$A:$N,ROW('WV 4.0'!106:106),0),"")</f>
        <v/>
      </c>
      <c r="L117" s="27">
        <f>IFERROR(HLOOKUP(Таблица5[[#Headers],[Код КазНИИСА]],'WV 4.0'!$A:$N,ROW('WV 4.0'!106:106),0),"")</f>
        <v>0</v>
      </c>
      <c r="M117" s="27" t="str">
        <f>IFERROR(HLOOKUP(Таблица5[[#Headers],[РРЦ в тнг]],'WV 4.0'!$A:$N,ROW('WV 4.0'!106:106),0),"")</f>
        <v/>
      </c>
      <c r="N117" s="27" t="str">
        <f>IFERROR(HLOOKUP(Таблица5[[#Headers],[Сумма РРЦ]],'WV 4.0'!$A:$N,ROW('WV 4.0'!106:106),0),"")</f>
        <v/>
      </c>
    </row>
    <row r="118" spans="1:14" s="13" customFormat="1" x14ac:dyDescent="0.3">
      <c r="A118" s="29">
        <f>IFERROR('WV 4.0'!A107, " ")</f>
        <v>0</v>
      </c>
      <c r="B118" s="29">
        <f>IFERROR('WV 4.0'!B107, " ")</f>
        <v>0</v>
      </c>
      <c r="C118" s="29">
        <f>IFERROR('WV 4.0'!C107, " ")</f>
        <v>0</v>
      </c>
      <c r="D118" s="29">
        <f>IFERROR('WV 4.0'!D107, " ")</f>
        <v>0</v>
      </c>
      <c r="E118" s="29">
        <f>IFERROR('WV 4.0'!E107, " ")</f>
        <v>0</v>
      </c>
      <c r="F118" s="27">
        <f>IFERROR(ROUND(HLOOKUP(Таблица5[[#Headers],[Цена КП]],'WV 4.0'!$A:$N,ROW('WV 4.0'!107:107),0),0),"")</f>
        <v>0</v>
      </c>
      <c r="G118" s="27">
        <f>IFERROR(Таблица5[[#This Row],[Цена КП]]*Таблица5[[#This Row],[Кол-во]],"")</f>
        <v>0</v>
      </c>
      <c r="H118" s="42">
        <f>IFERROR(HLOOKUP(Таблица5[[#Headers],[Комментарии]],'WV 4.0'!$A:$N,ROW('WV 4.0'!107:107),0),"")</f>
        <v>0</v>
      </c>
      <c r="I118" s="42">
        <f>IFERROR(HLOOKUP(Таблица5[[#Headers],[Срок поставки]],'WV 4.0'!$A:$N,ROW('WV 4.0'!107:107),0),"")</f>
        <v>0</v>
      </c>
      <c r="J118" s="27" t="str">
        <f>IFERROR(HLOOKUP(Таблица5[[#Headers],[Цена КазНИИСА]],'WV 4.0'!$A:$N,ROW('WV 4.0'!107:107),0),"")</f>
        <v/>
      </c>
      <c r="K118" s="27" t="str">
        <f>IFERROR(HLOOKUP(Таблица5[[#Headers],[Сумма КазНИИСА]],'WV 4.0'!$A:$N,ROW('WV 4.0'!107:107),0),"")</f>
        <v/>
      </c>
      <c r="L118" s="27">
        <f>IFERROR(HLOOKUP(Таблица5[[#Headers],[Код КазНИИСА]],'WV 4.0'!$A:$N,ROW('WV 4.0'!107:107),0),"")</f>
        <v>0</v>
      </c>
      <c r="M118" s="27" t="str">
        <f>IFERROR(HLOOKUP(Таблица5[[#Headers],[РРЦ в тнг]],'WV 4.0'!$A:$N,ROW('WV 4.0'!107:107),0),"")</f>
        <v/>
      </c>
      <c r="N118" s="27" t="str">
        <f>IFERROR(HLOOKUP(Таблица5[[#Headers],[Сумма РРЦ]],'WV 4.0'!$A:$N,ROW('WV 4.0'!107:107),0),"")</f>
        <v/>
      </c>
    </row>
    <row r="119" spans="1:14" s="13" customFormat="1" x14ac:dyDescent="0.3">
      <c r="A119" s="29">
        <f>IFERROR('WV 4.0'!A108, " ")</f>
        <v>0</v>
      </c>
      <c r="B119" s="29">
        <f>IFERROR('WV 4.0'!B108, " ")</f>
        <v>0</v>
      </c>
      <c r="C119" s="29">
        <f>IFERROR('WV 4.0'!C108, " ")</f>
        <v>0</v>
      </c>
      <c r="D119" s="29">
        <f>IFERROR('WV 4.0'!D108, " ")</f>
        <v>0</v>
      </c>
      <c r="E119" s="29">
        <f>IFERROR('WV 4.0'!E108, " ")</f>
        <v>0</v>
      </c>
      <c r="F119" s="27">
        <f>IFERROR(ROUND(HLOOKUP(Таблица5[[#Headers],[Цена КП]],'WV 4.0'!$A:$N,ROW('WV 4.0'!108:108),0),0),"")</f>
        <v>0</v>
      </c>
      <c r="G119" s="27">
        <f>IFERROR(Таблица5[[#This Row],[Цена КП]]*Таблица5[[#This Row],[Кол-во]],"")</f>
        <v>0</v>
      </c>
      <c r="H119" s="42">
        <f>IFERROR(HLOOKUP(Таблица5[[#Headers],[Комментарии]],'WV 4.0'!$A:$N,ROW('WV 4.0'!108:108),0),"")</f>
        <v>0</v>
      </c>
      <c r="I119" s="42">
        <f>IFERROR(HLOOKUP(Таблица5[[#Headers],[Срок поставки]],'WV 4.0'!$A:$N,ROW('WV 4.0'!108:108),0),"")</f>
        <v>0</v>
      </c>
      <c r="J119" s="27" t="str">
        <f>IFERROR(HLOOKUP(Таблица5[[#Headers],[Цена КазНИИСА]],'WV 4.0'!$A:$N,ROW('WV 4.0'!108:108),0),"")</f>
        <v/>
      </c>
      <c r="K119" s="27" t="str">
        <f>IFERROR(HLOOKUP(Таблица5[[#Headers],[Сумма КазНИИСА]],'WV 4.0'!$A:$N,ROW('WV 4.0'!108:108),0),"")</f>
        <v/>
      </c>
      <c r="L119" s="27">
        <f>IFERROR(HLOOKUP(Таблица5[[#Headers],[Код КазНИИСА]],'WV 4.0'!$A:$N,ROW('WV 4.0'!108:108),0),"")</f>
        <v>0</v>
      </c>
      <c r="M119" s="27" t="str">
        <f>IFERROR(HLOOKUP(Таблица5[[#Headers],[РРЦ в тнг]],'WV 4.0'!$A:$N,ROW('WV 4.0'!108:108),0),"")</f>
        <v/>
      </c>
      <c r="N119" s="27" t="str">
        <f>IFERROR(HLOOKUP(Таблица5[[#Headers],[Сумма РРЦ]],'WV 4.0'!$A:$N,ROW('WV 4.0'!108:108),0),"")</f>
        <v/>
      </c>
    </row>
    <row r="120" spans="1:14" x14ac:dyDescent="0.25">
      <c r="A120" s="29">
        <f>IFERROR('WV 4.0'!A109, " ")</f>
        <v>0</v>
      </c>
      <c r="B120" s="29">
        <f>IFERROR('WV 4.0'!B109, " ")</f>
        <v>0</v>
      </c>
      <c r="C120" s="29">
        <f>IFERROR('WV 4.0'!C109, " ")</f>
        <v>0</v>
      </c>
      <c r="D120" s="29">
        <f>IFERROR('WV 4.0'!D109, " ")</f>
        <v>0</v>
      </c>
      <c r="E120" s="29">
        <f>IFERROR('WV 4.0'!E109, " ")</f>
        <v>0</v>
      </c>
      <c r="F120" s="27">
        <f>IFERROR(ROUND(HLOOKUP(Таблица5[[#Headers],[Цена КП]],'WV 4.0'!$A:$N,ROW('WV 4.0'!109:109),0),0),"")</f>
        <v>0</v>
      </c>
      <c r="G120" s="27">
        <f>IFERROR(Таблица5[[#This Row],[Цена КП]]*Таблица5[[#This Row],[Кол-во]],"")</f>
        <v>0</v>
      </c>
      <c r="H120" s="42">
        <f>IFERROR(HLOOKUP(Таблица5[[#Headers],[Комментарии]],'WV 4.0'!$A:$N,ROW('WV 4.0'!109:109),0),"")</f>
        <v>0</v>
      </c>
      <c r="I120" s="42">
        <f>IFERROR(HLOOKUP(Таблица5[[#Headers],[Срок поставки]],'WV 4.0'!$A:$N,ROW('WV 4.0'!109:109),0),"")</f>
        <v>0</v>
      </c>
      <c r="J120" s="27" t="str">
        <f>IFERROR(HLOOKUP(Таблица5[[#Headers],[Цена КазНИИСА]],'WV 4.0'!$A:$N,ROW('WV 4.0'!109:109),0),"")</f>
        <v/>
      </c>
      <c r="K120" s="27" t="str">
        <f>IFERROR(HLOOKUP(Таблица5[[#Headers],[Сумма КазНИИСА]],'WV 4.0'!$A:$N,ROW('WV 4.0'!109:109),0),"")</f>
        <v/>
      </c>
      <c r="L120" s="27">
        <f>IFERROR(HLOOKUP(Таблица5[[#Headers],[Код КазНИИСА]],'WV 4.0'!$A:$N,ROW('WV 4.0'!109:109),0),"")</f>
        <v>0</v>
      </c>
      <c r="M120" s="27" t="str">
        <f>IFERROR(HLOOKUP(Таблица5[[#Headers],[РРЦ в тнг]],'WV 4.0'!$A:$N,ROW('WV 4.0'!109:109),0),"")</f>
        <v/>
      </c>
      <c r="N120" s="27" t="str">
        <f>IFERROR(HLOOKUP(Таблица5[[#Headers],[Сумма РРЦ]],'WV 4.0'!$A:$N,ROW('WV 4.0'!109:109),0),"")</f>
        <v/>
      </c>
    </row>
    <row r="121" spans="1:14" x14ac:dyDescent="0.25">
      <c r="A121" s="29">
        <f>IFERROR('WV 4.0'!A110, " ")</f>
        <v>0</v>
      </c>
      <c r="B121" s="29">
        <f>IFERROR('WV 4.0'!B110, " ")</f>
        <v>0</v>
      </c>
      <c r="C121" s="29">
        <f>IFERROR('WV 4.0'!C110, " ")</f>
        <v>0</v>
      </c>
      <c r="D121" s="29">
        <f>IFERROR('WV 4.0'!D110, " ")</f>
        <v>0</v>
      </c>
      <c r="E121" s="29">
        <f>IFERROR('WV 4.0'!E110, " ")</f>
        <v>0</v>
      </c>
      <c r="F121" s="27">
        <f>IFERROR(ROUND(HLOOKUP(Таблица5[[#Headers],[Цена КП]],'WV 4.0'!$A:$N,ROW('WV 4.0'!110:110),0),0),"")</f>
        <v>0</v>
      </c>
      <c r="G121" s="27">
        <f>IFERROR(Таблица5[[#This Row],[Цена КП]]*Таблица5[[#This Row],[Кол-во]],"")</f>
        <v>0</v>
      </c>
      <c r="H121" s="42">
        <f>IFERROR(HLOOKUP(Таблица5[[#Headers],[Комментарии]],'WV 4.0'!$A:$N,ROW('WV 4.0'!110:110),0),"")</f>
        <v>0</v>
      </c>
      <c r="I121" s="42">
        <f>IFERROR(HLOOKUP(Таблица5[[#Headers],[Срок поставки]],'WV 4.0'!$A:$N,ROW('WV 4.0'!110:110),0),"")</f>
        <v>0</v>
      </c>
      <c r="J121" s="27" t="str">
        <f>IFERROR(HLOOKUP(Таблица5[[#Headers],[Цена КазНИИСА]],'WV 4.0'!$A:$N,ROW('WV 4.0'!110:110),0),"")</f>
        <v/>
      </c>
      <c r="K121" s="27" t="str">
        <f>IFERROR(HLOOKUP(Таблица5[[#Headers],[Сумма КазНИИСА]],'WV 4.0'!$A:$N,ROW('WV 4.0'!110:110),0),"")</f>
        <v/>
      </c>
      <c r="L121" s="27">
        <f>IFERROR(HLOOKUP(Таблица5[[#Headers],[Код КазНИИСА]],'WV 4.0'!$A:$N,ROW('WV 4.0'!110:110),0),"")</f>
        <v>0</v>
      </c>
      <c r="M121" s="27" t="str">
        <f>IFERROR(HLOOKUP(Таблица5[[#Headers],[РРЦ в тнг]],'WV 4.0'!$A:$N,ROW('WV 4.0'!110:110),0),"")</f>
        <v/>
      </c>
      <c r="N121" s="27" t="str">
        <f>IFERROR(HLOOKUP(Таблица5[[#Headers],[Сумма РРЦ]],'WV 4.0'!$A:$N,ROW('WV 4.0'!110:110),0),"")</f>
        <v/>
      </c>
    </row>
    <row r="122" spans="1:14" x14ac:dyDescent="0.25">
      <c r="A122" s="29">
        <f>IFERROR('WV 4.0'!A111, " ")</f>
        <v>0</v>
      </c>
      <c r="B122" s="29">
        <f>IFERROR('WV 4.0'!B111, " ")</f>
        <v>0</v>
      </c>
      <c r="C122" s="29">
        <f>IFERROR('WV 4.0'!C111, " ")</f>
        <v>0</v>
      </c>
      <c r="D122" s="29">
        <f>IFERROR('WV 4.0'!D111, " ")</f>
        <v>0</v>
      </c>
      <c r="E122" s="29">
        <f>IFERROR('WV 4.0'!E111, " ")</f>
        <v>0</v>
      </c>
      <c r="F122" s="27">
        <f>IFERROR(ROUND(HLOOKUP(Таблица5[[#Headers],[Цена КП]],'WV 4.0'!$A:$N,ROW('WV 4.0'!111:111),0),0),"")</f>
        <v>0</v>
      </c>
      <c r="G122" s="27">
        <f>IFERROR(Таблица5[[#This Row],[Цена КП]]*Таблица5[[#This Row],[Кол-во]],"")</f>
        <v>0</v>
      </c>
      <c r="H122" s="42">
        <f>IFERROR(HLOOKUP(Таблица5[[#Headers],[Комментарии]],'WV 4.0'!$A:$N,ROW('WV 4.0'!111:111),0),"")</f>
        <v>0</v>
      </c>
      <c r="I122" s="42">
        <f>IFERROR(HLOOKUP(Таблица5[[#Headers],[Срок поставки]],'WV 4.0'!$A:$N,ROW('WV 4.0'!111:111),0),"")</f>
        <v>0</v>
      </c>
      <c r="J122" s="27" t="str">
        <f>IFERROR(HLOOKUP(Таблица5[[#Headers],[Цена КазНИИСА]],'WV 4.0'!$A:$N,ROW('WV 4.0'!111:111),0),"")</f>
        <v/>
      </c>
      <c r="K122" s="27" t="str">
        <f>IFERROR(HLOOKUP(Таблица5[[#Headers],[Сумма КазНИИСА]],'WV 4.0'!$A:$N,ROW('WV 4.0'!111:111),0),"")</f>
        <v/>
      </c>
      <c r="L122" s="27">
        <f>IFERROR(HLOOKUP(Таблица5[[#Headers],[Код КазНИИСА]],'WV 4.0'!$A:$N,ROW('WV 4.0'!111:111),0),"")</f>
        <v>0</v>
      </c>
      <c r="M122" s="27" t="str">
        <f>IFERROR(HLOOKUP(Таблица5[[#Headers],[РРЦ в тнг]],'WV 4.0'!$A:$N,ROW('WV 4.0'!111:111),0),"")</f>
        <v/>
      </c>
      <c r="N122" s="27" t="str">
        <f>IFERROR(HLOOKUP(Таблица5[[#Headers],[Сумма РРЦ]],'WV 4.0'!$A:$N,ROW('WV 4.0'!111:111),0),"")</f>
        <v/>
      </c>
    </row>
    <row r="123" spans="1:14" x14ac:dyDescent="0.25">
      <c r="A123" s="29">
        <f>IFERROR('WV 4.0'!A112, " ")</f>
        <v>0</v>
      </c>
      <c r="B123" s="29">
        <f>IFERROR('WV 4.0'!B112, " ")</f>
        <v>0</v>
      </c>
      <c r="C123" s="29">
        <f>IFERROR('WV 4.0'!C112, " ")</f>
        <v>0</v>
      </c>
      <c r="D123" s="29">
        <f>IFERROR('WV 4.0'!D112, " ")</f>
        <v>0</v>
      </c>
      <c r="E123" s="29">
        <f>IFERROR('WV 4.0'!E112, " ")</f>
        <v>0</v>
      </c>
      <c r="F123" s="27">
        <f>IFERROR(ROUND(HLOOKUP(Таблица5[[#Headers],[Цена КП]],'WV 4.0'!$A:$N,ROW('WV 4.0'!112:112),0),0),"")</f>
        <v>0</v>
      </c>
      <c r="G123" s="27">
        <f>IFERROR(Таблица5[[#This Row],[Цена КП]]*Таблица5[[#This Row],[Кол-во]],"")</f>
        <v>0</v>
      </c>
      <c r="H123" s="42">
        <f>IFERROR(HLOOKUP(Таблица5[[#Headers],[Комментарии]],'WV 4.0'!$A:$N,ROW('WV 4.0'!112:112),0),"")</f>
        <v>0</v>
      </c>
      <c r="I123" s="42">
        <f>IFERROR(HLOOKUP(Таблица5[[#Headers],[Срок поставки]],'WV 4.0'!$A:$N,ROW('WV 4.0'!112:112),0),"")</f>
        <v>0</v>
      </c>
      <c r="J123" s="27" t="str">
        <f>IFERROR(HLOOKUP(Таблица5[[#Headers],[Цена КазНИИСА]],'WV 4.0'!$A:$N,ROW('WV 4.0'!112:112),0),"")</f>
        <v/>
      </c>
      <c r="K123" s="27" t="str">
        <f>IFERROR(HLOOKUP(Таблица5[[#Headers],[Сумма КазНИИСА]],'WV 4.0'!$A:$N,ROW('WV 4.0'!112:112),0),"")</f>
        <v/>
      </c>
      <c r="L123" s="27">
        <f>IFERROR(HLOOKUP(Таблица5[[#Headers],[Код КазНИИСА]],'WV 4.0'!$A:$N,ROW('WV 4.0'!112:112),0),"")</f>
        <v>0</v>
      </c>
      <c r="M123" s="27" t="str">
        <f>IFERROR(HLOOKUP(Таблица5[[#Headers],[РРЦ в тнг]],'WV 4.0'!$A:$N,ROW('WV 4.0'!112:112),0),"")</f>
        <v/>
      </c>
      <c r="N123" s="27" t="str">
        <f>IFERROR(HLOOKUP(Таблица5[[#Headers],[Сумма РРЦ]],'WV 4.0'!$A:$N,ROW('WV 4.0'!112:112),0),"")</f>
        <v/>
      </c>
    </row>
    <row r="124" spans="1:14" x14ac:dyDescent="0.25">
      <c r="A124" s="29">
        <f>IFERROR('WV 4.0'!A113, " ")</f>
        <v>0</v>
      </c>
      <c r="B124" s="29">
        <f>IFERROR('WV 4.0'!B113, " ")</f>
        <v>0</v>
      </c>
      <c r="C124" s="29">
        <f>IFERROR('WV 4.0'!C113, " ")</f>
        <v>0</v>
      </c>
      <c r="D124" s="29">
        <f>IFERROR('WV 4.0'!D113, " ")</f>
        <v>0</v>
      </c>
      <c r="E124" s="29">
        <f>IFERROR('WV 4.0'!E113, " ")</f>
        <v>0</v>
      </c>
      <c r="F124" s="27">
        <f>IFERROR(ROUND(HLOOKUP(Таблица5[[#Headers],[Цена КП]],'WV 4.0'!$A:$N,ROW('WV 4.0'!113:113),0),0),"")</f>
        <v>0</v>
      </c>
      <c r="G124" s="27">
        <f>IFERROR(Таблица5[[#This Row],[Цена КП]]*Таблица5[[#This Row],[Кол-во]],"")</f>
        <v>0</v>
      </c>
      <c r="H124" s="42">
        <f>IFERROR(HLOOKUP(Таблица5[[#Headers],[Комментарии]],'WV 4.0'!$A:$N,ROW('WV 4.0'!113:113),0),"")</f>
        <v>0</v>
      </c>
      <c r="I124" s="42">
        <f>IFERROR(HLOOKUP(Таблица5[[#Headers],[Срок поставки]],'WV 4.0'!$A:$N,ROW('WV 4.0'!113:113),0),"")</f>
        <v>0</v>
      </c>
      <c r="J124" s="27" t="str">
        <f>IFERROR(HLOOKUP(Таблица5[[#Headers],[Цена КазНИИСА]],'WV 4.0'!$A:$N,ROW('WV 4.0'!113:113),0),"")</f>
        <v/>
      </c>
      <c r="K124" s="27" t="str">
        <f>IFERROR(HLOOKUP(Таблица5[[#Headers],[Сумма КазНИИСА]],'WV 4.0'!$A:$N,ROW('WV 4.0'!113:113),0),"")</f>
        <v/>
      </c>
      <c r="L124" s="27">
        <f>IFERROR(HLOOKUP(Таблица5[[#Headers],[Код КазНИИСА]],'WV 4.0'!$A:$N,ROW('WV 4.0'!113:113),0),"")</f>
        <v>0</v>
      </c>
      <c r="M124" s="27" t="str">
        <f>IFERROR(HLOOKUP(Таблица5[[#Headers],[РРЦ в тнг]],'WV 4.0'!$A:$N,ROW('WV 4.0'!113:113),0),"")</f>
        <v/>
      </c>
      <c r="N124" s="27" t="str">
        <f>IFERROR(HLOOKUP(Таблица5[[#Headers],[Сумма РРЦ]],'WV 4.0'!$A:$N,ROW('WV 4.0'!113:113),0),"")</f>
        <v/>
      </c>
    </row>
    <row r="125" spans="1:14" x14ac:dyDescent="0.25">
      <c r="A125" s="29">
        <f>IFERROR('WV 4.0'!A114, " ")</f>
        <v>0</v>
      </c>
      <c r="B125" s="29">
        <f>IFERROR('WV 4.0'!B114, " ")</f>
        <v>0</v>
      </c>
      <c r="C125" s="29">
        <f>IFERROR('WV 4.0'!C114, " ")</f>
        <v>0</v>
      </c>
      <c r="D125" s="29">
        <f>IFERROR('WV 4.0'!D114, " ")</f>
        <v>0</v>
      </c>
      <c r="E125" s="29">
        <f>IFERROR('WV 4.0'!E114, " ")</f>
        <v>0</v>
      </c>
      <c r="F125" s="27">
        <f>IFERROR(ROUND(HLOOKUP(Таблица5[[#Headers],[Цена КП]],'WV 4.0'!$A:$N,ROW('WV 4.0'!114:114),0),0),"")</f>
        <v>0</v>
      </c>
      <c r="G125" s="27">
        <f>IFERROR(Таблица5[[#This Row],[Цена КП]]*Таблица5[[#This Row],[Кол-во]],"")</f>
        <v>0</v>
      </c>
      <c r="H125" s="42">
        <f>IFERROR(HLOOKUP(Таблица5[[#Headers],[Комментарии]],'WV 4.0'!$A:$N,ROW('WV 4.0'!114:114),0),"")</f>
        <v>0</v>
      </c>
      <c r="I125" s="42">
        <f>IFERROR(HLOOKUP(Таблица5[[#Headers],[Срок поставки]],'WV 4.0'!$A:$N,ROW('WV 4.0'!114:114),0),"")</f>
        <v>0</v>
      </c>
      <c r="J125" s="27" t="str">
        <f>IFERROR(HLOOKUP(Таблица5[[#Headers],[Цена КазНИИСА]],'WV 4.0'!$A:$N,ROW('WV 4.0'!114:114),0),"")</f>
        <v/>
      </c>
      <c r="K125" s="27" t="str">
        <f>IFERROR(HLOOKUP(Таблица5[[#Headers],[Сумма КазНИИСА]],'WV 4.0'!$A:$N,ROW('WV 4.0'!114:114),0),"")</f>
        <v/>
      </c>
      <c r="L125" s="27">
        <f>IFERROR(HLOOKUP(Таблица5[[#Headers],[Код КазНИИСА]],'WV 4.0'!$A:$N,ROW('WV 4.0'!114:114),0),"")</f>
        <v>0</v>
      </c>
      <c r="M125" s="27" t="str">
        <f>IFERROR(HLOOKUP(Таблица5[[#Headers],[РРЦ в тнг]],'WV 4.0'!$A:$N,ROW('WV 4.0'!114:114),0),"")</f>
        <v/>
      </c>
      <c r="N125" s="27" t="str">
        <f>IFERROR(HLOOKUP(Таблица5[[#Headers],[Сумма РРЦ]],'WV 4.0'!$A:$N,ROW('WV 4.0'!114:114),0),"")</f>
        <v/>
      </c>
    </row>
    <row r="126" spans="1:14" x14ac:dyDescent="0.25">
      <c r="A126" s="29">
        <f>IFERROR('WV 4.0'!A115, " ")</f>
        <v>0</v>
      </c>
      <c r="B126" s="29">
        <f>IFERROR('WV 4.0'!B115, " ")</f>
        <v>0</v>
      </c>
      <c r="C126" s="29">
        <f>IFERROR('WV 4.0'!C115, " ")</f>
        <v>0</v>
      </c>
      <c r="D126" s="29">
        <f>IFERROR('WV 4.0'!D115, " ")</f>
        <v>0</v>
      </c>
      <c r="E126" s="29">
        <f>IFERROR('WV 4.0'!E115, " ")</f>
        <v>0</v>
      </c>
      <c r="F126" s="27">
        <f>IFERROR(ROUND(HLOOKUP(Таблица5[[#Headers],[Цена КП]],'WV 4.0'!$A:$N,ROW('WV 4.0'!115:115),0),0),"")</f>
        <v>0</v>
      </c>
      <c r="G126" s="27">
        <f>IFERROR(Таблица5[[#This Row],[Цена КП]]*Таблица5[[#This Row],[Кол-во]],"")</f>
        <v>0</v>
      </c>
      <c r="H126" s="42">
        <f>IFERROR(HLOOKUP(Таблица5[[#Headers],[Комментарии]],'WV 4.0'!$A:$N,ROW('WV 4.0'!115:115),0),"")</f>
        <v>0</v>
      </c>
      <c r="I126" s="42">
        <f>IFERROR(HLOOKUP(Таблица5[[#Headers],[Срок поставки]],'WV 4.0'!$A:$N,ROW('WV 4.0'!115:115),0),"")</f>
        <v>0</v>
      </c>
      <c r="J126" s="27" t="str">
        <f>IFERROR(HLOOKUP(Таблица5[[#Headers],[Цена КазНИИСА]],'WV 4.0'!$A:$N,ROW('WV 4.0'!115:115),0),"")</f>
        <v/>
      </c>
      <c r="K126" s="27" t="str">
        <f>IFERROR(HLOOKUP(Таблица5[[#Headers],[Сумма КазНИИСА]],'WV 4.0'!$A:$N,ROW('WV 4.0'!115:115),0),"")</f>
        <v/>
      </c>
      <c r="L126" s="27">
        <f>IFERROR(HLOOKUP(Таблица5[[#Headers],[Код КазНИИСА]],'WV 4.0'!$A:$N,ROW('WV 4.0'!115:115),0),"")</f>
        <v>0</v>
      </c>
      <c r="M126" s="27" t="str">
        <f>IFERROR(HLOOKUP(Таблица5[[#Headers],[РРЦ в тнг]],'WV 4.0'!$A:$N,ROW('WV 4.0'!115:115),0),"")</f>
        <v/>
      </c>
      <c r="N126" s="27" t="str">
        <f>IFERROR(HLOOKUP(Таблица5[[#Headers],[Сумма РРЦ]],'WV 4.0'!$A:$N,ROW('WV 4.0'!115:115),0),"")</f>
        <v/>
      </c>
    </row>
    <row r="127" spans="1:14" x14ac:dyDescent="0.25">
      <c r="A127" s="29">
        <f>IFERROR('WV 4.0'!A116, " ")</f>
        <v>0</v>
      </c>
      <c r="B127" s="29">
        <f>IFERROR('WV 4.0'!B116, " ")</f>
        <v>0</v>
      </c>
      <c r="C127" s="29">
        <f>IFERROR('WV 4.0'!C116, " ")</f>
        <v>0</v>
      </c>
      <c r="D127" s="29">
        <f>IFERROR('WV 4.0'!D116, " ")</f>
        <v>0</v>
      </c>
      <c r="E127" s="29">
        <f>IFERROR('WV 4.0'!E116, " ")</f>
        <v>0</v>
      </c>
      <c r="F127" s="27">
        <f>IFERROR(ROUND(HLOOKUP(Таблица5[[#Headers],[Цена КП]],'WV 4.0'!$A:$N,ROW('WV 4.0'!116:116),0),0),"")</f>
        <v>0</v>
      </c>
      <c r="G127" s="27">
        <f>IFERROR(Таблица5[[#This Row],[Цена КП]]*Таблица5[[#This Row],[Кол-во]],"")</f>
        <v>0</v>
      </c>
      <c r="H127" s="42">
        <f>IFERROR(HLOOKUP(Таблица5[[#Headers],[Комментарии]],'WV 4.0'!$A:$N,ROW('WV 4.0'!116:116),0),"")</f>
        <v>0</v>
      </c>
      <c r="I127" s="42">
        <f>IFERROR(HLOOKUP(Таблица5[[#Headers],[Срок поставки]],'WV 4.0'!$A:$N,ROW('WV 4.0'!116:116),0),"")</f>
        <v>0</v>
      </c>
      <c r="J127" s="27" t="str">
        <f>IFERROR(HLOOKUP(Таблица5[[#Headers],[Цена КазНИИСА]],'WV 4.0'!$A:$N,ROW('WV 4.0'!116:116),0),"")</f>
        <v/>
      </c>
      <c r="K127" s="27" t="str">
        <f>IFERROR(HLOOKUP(Таблица5[[#Headers],[Сумма КазНИИСА]],'WV 4.0'!$A:$N,ROW('WV 4.0'!116:116),0),"")</f>
        <v/>
      </c>
      <c r="L127" s="27">
        <f>IFERROR(HLOOKUP(Таблица5[[#Headers],[Код КазНИИСА]],'WV 4.0'!$A:$N,ROW('WV 4.0'!116:116),0),"")</f>
        <v>0</v>
      </c>
      <c r="M127" s="27" t="str">
        <f>IFERROR(HLOOKUP(Таблица5[[#Headers],[РРЦ в тнг]],'WV 4.0'!$A:$N,ROW('WV 4.0'!116:116),0),"")</f>
        <v/>
      </c>
      <c r="N127" s="27" t="str">
        <f>IFERROR(HLOOKUP(Таблица5[[#Headers],[Сумма РРЦ]],'WV 4.0'!$A:$N,ROW('WV 4.0'!116:116),0),"")</f>
        <v/>
      </c>
    </row>
    <row r="128" spans="1:14" x14ac:dyDescent="0.25">
      <c r="A128" s="29">
        <f>IFERROR('WV 4.0'!A117, " ")</f>
        <v>0</v>
      </c>
      <c r="B128" s="29">
        <f>IFERROR('WV 4.0'!B117, " ")</f>
        <v>0</v>
      </c>
      <c r="C128" s="29">
        <f>IFERROR('WV 4.0'!C117, " ")</f>
        <v>0</v>
      </c>
      <c r="D128" s="29">
        <f>IFERROR('WV 4.0'!D117, " ")</f>
        <v>0</v>
      </c>
      <c r="E128" s="29">
        <f>IFERROR('WV 4.0'!E117, " ")</f>
        <v>0</v>
      </c>
      <c r="F128" s="27">
        <f>IFERROR(ROUND(HLOOKUP(Таблица5[[#Headers],[Цена КП]],'WV 4.0'!$A:$N,ROW('WV 4.0'!117:117),0),0),"")</f>
        <v>0</v>
      </c>
      <c r="G128" s="27">
        <f>IFERROR(Таблица5[[#This Row],[Цена КП]]*Таблица5[[#This Row],[Кол-во]],"")</f>
        <v>0</v>
      </c>
      <c r="H128" s="42">
        <f>IFERROR(HLOOKUP(Таблица5[[#Headers],[Комментарии]],'WV 4.0'!$A:$N,ROW('WV 4.0'!117:117),0),"")</f>
        <v>0</v>
      </c>
      <c r="I128" s="42">
        <f>IFERROR(HLOOKUP(Таблица5[[#Headers],[Срок поставки]],'WV 4.0'!$A:$N,ROW('WV 4.0'!117:117),0),"")</f>
        <v>0</v>
      </c>
      <c r="J128" s="27" t="str">
        <f>IFERROR(HLOOKUP(Таблица5[[#Headers],[Цена КазНИИСА]],'WV 4.0'!$A:$N,ROW('WV 4.0'!117:117),0),"")</f>
        <v/>
      </c>
      <c r="K128" s="27" t="str">
        <f>IFERROR(HLOOKUP(Таблица5[[#Headers],[Сумма КазНИИСА]],'WV 4.0'!$A:$N,ROW('WV 4.0'!117:117),0),"")</f>
        <v/>
      </c>
      <c r="L128" s="27">
        <f>IFERROR(HLOOKUP(Таблица5[[#Headers],[Код КазНИИСА]],'WV 4.0'!$A:$N,ROW('WV 4.0'!117:117),0),"")</f>
        <v>0</v>
      </c>
      <c r="M128" s="27" t="str">
        <f>IFERROR(HLOOKUP(Таблица5[[#Headers],[РРЦ в тнг]],'WV 4.0'!$A:$N,ROW('WV 4.0'!117:117),0),"")</f>
        <v/>
      </c>
      <c r="N128" s="27" t="str">
        <f>IFERROR(HLOOKUP(Таблица5[[#Headers],[Сумма РРЦ]],'WV 4.0'!$A:$N,ROW('WV 4.0'!117:117),0),"")</f>
        <v/>
      </c>
    </row>
    <row r="129" spans="1:14" x14ac:dyDescent="0.25">
      <c r="A129" s="29">
        <f>IFERROR('WV 4.0'!A118, " ")</f>
        <v>0</v>
      </c>
      <c r="B129" s="29">
        <f>IFERROR('WV 4.0'!B118, " ")</f>
        <v>0</v>
      </c>
      <c r="C129" s="29">
        <f>IFERROR('WV 4.0'!C118, " ")</f>
        <v>0</v>
      </c>
      <c r="D129" s="29">
        <f>IFERROR('WV 4.0'!D118, " ")</f>
        <v>0</v>
      </c>
      <c r="E129" s="29">
        <f>IFERROR('WV 4.0'!E118, " ")</f>
        <v>0</v>
      </c>
      <c r="F129" s="27">
        <f>IFERROR(ROUND(HLOOKUP(Таблица5[[#Headers],[Цена КП]],'WV 4.0'!$A:$N,ROW('WV 4.0'!118:118),0),0),"")</f>
        <v>0</v>
      </c>
      <c r="G129" s="27">
        <f>IFERROR(Таблица5[[#This Row],[Цена КП]]*Таблица5[[#This Row],[Кол-во]],"")</f>
        <v>0</v>
      </c>
      <c r="H129" s="42">
        <f>IFERROR(HLOOKUP(Таблица5[[#Headers],[Комментарии]],'WV 4.0'!$A:$N,ROW('WV 4.0'!118:118),0),"")</f>
        <v>0</v>
      </c>
      <c r="I129" s="42">
        <f>IFERROR(HLOOKUP(Таблица5[[#Headers],[Срок поставки]],'WV 4.0'!$A:$N,ROW('WV 4.0'!118:118),0),"")</f>
        <v>0</v>
      </c>
      <c r="J129" s="27" t="str">
        <f>IFERROR(HLOOKUP(Таблица5[[#Headers],[Цена КазНИИСА]],'WV 4.0'!$A:$N,ROW('WV 4.0'!118:118),0),"")</f>
        <v/>
      </c>
      <c r="K129" s="27" t="str">
        <f>IFERROR(HLOOKUP(Таблица5[[#Headers],[Сумма КазНИИСА]],'WV 4.0'!$A:$N,ROW('WV 4.0'!118:118),0),"")</f>
        <v/>
      </c>
      <c r="L129" s="27">
        <f>IFERROR(HLOOKUP(Таблица5[[#Headers],[Код КазНИИСА]],'WV 4.0'!$A:$N,ROW('WV 4.0'!118:118),0),"")</f>
        <v>0</v>
      </c>
      <c r="M129" s="27" t="str">
        <f>IFERROR(HLOOKUP(Таблица5[[#Headers],[РРЦ в тнг]],'WV 4.0'!$A:$N,ROW('WV 4.0'!118:118),0),"")</f>
        <v/>
      </c>
      <c r="N129" s="27" t="str">
        <f>IFERROR(HLOOKUP(Таблица5[[#Headers],[Сумма РРЦ]],'WV 4.0'!$A:$N,ROW('WV 4.0'!118:118),0),"")</f>
        <v/>
      </c>
    </row>
    <row r="130" spans="1:14" x14ac:dyDescent="0.25">
      <c r="A130" s="29">
        <f>IFERROR('WV 4.0'!A119, " ")</f>
        <v>0</v>
      </c>
      <c r="B130" s="29">
        <f>IFERROR('WV 4.0'!B119, " ")</f>
        <v>0</v>
      </c>
      <c r="C130" s="29">
        <f>IFERROR('WV 4.0'!C119, " ")</f>
        <v>0</v>
      </c>
      <c r="D130" s="29">
        <f>IFERROR('WV 4.0'!D119, " ")</f>
        <v>0</v>
      </c>
      <c r="E130" s="29">
        <f>IFERROR('WV 4.0'!E119, " ")</f>
        <v>0</v>
      </c>
      <c r="F130" s="27">
        <f>IFERROR(ROUND(HLOOKUP(Таблица5[[#Headers],[Цена КП]],'WV 4.0'!$A:$N,ROW('WV 4.0'!119:119),0),0),"")</f>
        <v>0</v>
      </c>
      <c r="G130" s="27">
        <f>IFERROR(Таблица5[[#This Row],[Цена КП]]*Таблица5[[#This Row],[Кол-во]],"")</f>
        <v>0</v>
      </c>
      <c r="H130" s="42">
        <f>IFERROR(HLOOKUP(Таблица5[[#Headers],[Комментарии]],'WV 4.0'!$A:$N,ROW('WV 4.0'!119:119),0),"")</f>
        <v>0</v>
      </c>
      <c r="I130" s="42">
        <f>IFERROR(HLOOKUP(Таблица5[[#Headers],[Срок поставки]],'WV 4.0'!$A:$N,ROW('WV 4.0'!119:119),0),"")</f>
        <v>0</v>
      </c>
      <c r="J130" s="27" t="str">
        <f>IFERROR(HLOOKUP(Таблица5[[#Headers],[Цена КазНИИСА]],'WV 4.0'!$A:$N,ROW('WV 4.0'!119:119),0),"")</f>
        <v/>
      </c>
      <c r="K130" s="27" t="str">
        <f>IFERROR(HLOOKUP(Таблица5[[#Headers],[Сумма КазНИИСА]],'WV 4.0'!$A:$N,ROW('WV 4.0'!119:119),0),"")</f>
        <v/>
      </c>
      <c r="L130" s="27">
        <f>IFERROR(HLOOKUP(Таблица5[[#Headers],[Код КазНИИСА]],'WV 4.0'!$A:$N,ROW('WV 4.0'!119:119),0),"")</f>
        <v>0</v>
      </c>
      <c r="M130" s="27" t="str">
        <f>IFERROR(HLOOKUP(Таблица5[[#Headers],[РРЦ в тнг]],'WV 4.0'!$A:$N,ROW('WV 4.0'!119:119),0),"")</f>
        <v/>
      </c>
      <c r="N130" s="27" t="str">
        <f>IFERROR(HLOOKUP(Таблица5[[#Headers],[Сумма РРЦ]],'WV 4.0'!$A:$N,ROW('WV 4.0'!119:119),0),"")</f>
        <v/>
      </c>
    </row>
    <row r="131" spans="1:14" x14ac:dyDescent="0.25">
      <c r="A131" s="29">
        <f>IFERROR('WV 4.0'!A120, " ")</f>
        <v>0</v>
      </c>
      <c r="B131" s="29">
        <f>IFERROR('WV 4.0'!B120, " ")</f>
        <v>0</v>
      </c>
      <c r="C131" s="29">
        <f>IFERROR('WV 4.0'!C120, " ")</f>
        <v>0</v>
      </c>
      <c r="D131" s="29">
        <f>IFERROR('WV 4.0'!D120, " ")</f>
        <v>0</v>
      </c>
      <c r="E131" s="29">
        <f>IFERROR('WV 4.0'!E120, " ")</f>
        <v>0</v>
      </c>
      <c r="F131" s="27">
        <f>IFERROR(ROUND(HLOOKUP(Таблица5[[#Headers],[Цена КП]],'WV 4.0'!$A:$N,ROW('WV 4.0'!120:120),0),0),"")</f>
        <v>0</v>
      </c>
      <c r="G131" s="27">
        <f>IFERROR(Таблица5[[#This Row],[Цена КП]]*Таблица5[[#This Row],[Кол-во]],"")</f>
        <v>0</v>
      </c>
      <c r="H131" s="42">
        <f>IFERROR(HLOOKUP(Таблица5[[#Headers],[Комментарии]],'WV 4.0'!$A:$N,ROW('WV 4.0'!120:120),0),"")</f>
        <v>0</v>
      </c>
      <c r="I131" s="42">
        <f>IFERROR(HLOOKUP(Таблица5[[#Headers],[Срок поставки]],'WV 4.0'!$A:$N,ROW('WV 4.0'!120:120),0),"")</f>
        <v>0</v>
      </c>
      <c r="J131" s="27" t="str">
        <f>IFERROR(HLOOKUP(Таблица5[[#Headers],[Цена КазНИИСА]],'WV 4.0'!$A:$N,ROW('WV 4.0'!120:120),0),"")</f>
        <v/>
      </c>
      <c r="K131" s="27" t="str">
        <f>IFERROR(HLOOKUP(Таблица5[[#Headers],[Сумма КазНИИСА]],'WV 4.0'!$A:$N,ROW('WV 4.0'!120:120),0),"")</f>
        <v/>
      </c>
      <c r="L131" s="27">
        <f>IFERROR(HLOOKUP(Таблица5[[#Headers],[Код КазНИИСА]],'WV 4.0'!$A:$N,ROW('WV 4.0'!120:120),0),"")</f>
        <v>0</v>
      </c>
      <c r="M131" s="27" t="str">
        <f>IFERROR(HLOOKUP(Таблица5[[#Headers],[РРЦ в тнг]],'WV 4.0'!$A:$N,ROW('WV 4.0'!120:120),0),"")</f>
        <v/>
      </c>
      <c r="N131" s="27" t="str">
        <f>IFERROR(HLOOKUP(Таблица5[[#Headers],[Сумма РРЦ]],'WV 4.0'!$A:$N,ROW('WV 4.0'!120:120),0),"")</f>
        <v/>
      </c>
    </row>
    <row r="132" spans="1:14" x14ac:dyDescent="0.25">
      <c r="A132" s="29">
        <f>IFERROR('WV 4.0'!A121, " ")</f>
        <v>0</v>
      </c>
      <c r="B132" s="29">
        <f>IFERROR('WV 4.0'!B121, " ")</f>
        <v>0</v>
      </c>
      <c r="C132" s="29">
        <f>IFERROR('WV 4.0'!C121, " ")</f>
        <v>0</v>
      </c>
      <c r="D132" s="29">
        <f>IFERROR('WV 4.0'!D121, " ")</f>
        <v>0</v>
      </c>
      <c r="E132" s="29">
        <f>IFERROR('WV 4.0'!E121, " ")</f>
        <v>0</v>
      </c>
      <c r="F132" s="27">
        <f>IFERROR(ROUND(HLOOKUP(Таблица5[[#Headers],[Цена КП]],'WV 4.0'!$A:$N,ROW('WV 4.0'!121:121),0),0),"")</f>
        <v>0</v>
      </c>
      <c r="G132" s="27">
        <f>IFERROR(Таблица5[[#This Row],[Цена КП]]*Таблица5[[#This Row],[Кол-во]],"")</f>
        <v>0</v>
      </c>
      <c r="H132" s="42">
        <f>IFERROR(HLOOKUP(Таблица5[[#Headers],[Комментарии]],'WV 4.0'!$A:$N,ROW('WV 4.0'!121:121),0),"")</f>
        <v>0</v>
      </c>
      <c r="I132" s="42">
        <f>IFERROR(HLOOKUP(Таблица5[[#Headers],[Срок поставки]],'WV 4.0'!$A:$N,ROW('WV 4.0'!121:121),0),"")</f>
        <v>0</v>
      </c>
      <c r="J132" s="27" t="str">
        <f>IFERROR(HLOOKUP(Таблица5[[#Headers],[Цена КазНИИСА]],'WV 4.0'!$A:$N,ROW('WV 4.0'!121:121),0),"")</f>
        <v/>
      </c>
      <c r="K132" s="27" t="str">
        <f>IFERROR(HLOOKUP(Таблица5[[#Headers],[Сумма КазНИИСА]],'WV 4.0'!$A:$N,ROW('WV 4.0'!121:121),0),"")</f>
        <v/>
      </c>
      <c r="L132" s="27">
        <f>IFERROR(HLOOKUP(Таблица5[[#Headers],[Код КазНИИСА]],'WV 4.0'!$A:$N,ROW('WV 4.0'!121:121),0),"")</f>
        <v>0</v>
      </c>
      <c r="M132" s="27" t="str">
        <f>IFERROR(HLOOKUP(Таблица5[[#Headers],[РРЦ в тнг]],'WV 4.0'!$A:$N,ROW('WV 4.0'!121:121),0),"")</f>
        <v/>
      </c>
      <c r="N132" s="27" t="str">
        <f>IFERROR(HLOOKUP(Таблица5[[#Headers],[Сумма РРЦ]],'WV 4.0'!$A:$N,ROW('WV 4.0'!121:121),0),"")</f>
        <v/>
      </c>
    </row>
    <row r="133" spans="1:14" x14ac:dyDescent="0.25">
      <c r="A133" s="29">
        <f>IFERROR('WV 4.0'!A122, " ")</f>
        <v>0</v>
      </c>
      <c r="B133" s="29">
        <f>IFERROR('WV 4.0'!B122, " ")</f>
        <v>0</v>
      </c>
      <c r="C133" s="29">
        <f>IFERROR('WV 4.0'!C122, " ")</f>
        <v>0</v>
      </c>
      <c r="D133" s="29">
        <f>IFERROR('WV 4.0'!D122, " ")</f>
        <v>0</v>
      </c>
      <c r="E133" s="29">
        <f>IFERROR('WV 4.0'!E122, " ")</f>
        <v>0</v>
      </c>
      <c r="F133" s="27">
        <f>IFERROR(ROUND(HLOOKUP(Таблица5[[#Headers],[Цена КП]],'WV 4.0'!$A:$N,ROW('WV 4.0'!122:122),0),0),"")</f>
        <v>0</v>
      </c>
      <c r="G133" s="27">
        <f>IFERROR(Таблица5[[#This Row],[Цена КП]]*Таблица5[[#This Row],[Кол-во]],"")</f>
        <v>0</v>
      </c>
      <c r="H133" s="42">
        <f>IFERROR(HLOOKUP(Таблица5[[#Headers],[Комментарии]],'WV 4.0'!$A:$N,ROW('WV 4.0'!122:122),0),"")</f>
        <v>0</v>
      </c>
      <c r="I133" s="42">
        <f>IFERROR(HLOOKUP(Таблица5[[#Headers],[Срок поставки]],'WV 4.0'!$A:$N,ROW('WV 4.0'!122:122),0),"")</f>
        <v>0</v>
      </c>
      <c r="J133" s="27" t="str">
        <f>IFERROR(HLOOKUP(Таблица5[[#Headers],[Цена КазНИИСА]],'WV 4.0'!$A:$N,ROW('WV 4.0'!122:122),0),"")</f>
        <v/>
      </c>
      <c r="K133" s="27" t="str">
        <f>IFERROR(HLOOKUP(Таблица5[[#Headers],[Сумма КазНИИСА]],'WV 4.0'!$A:$N,ROW('WV 4.0'!122:122),0),"")</f>
        <v/>
      </c>
      <c r="L133" s="27">
        <f>IFERROR(HLOOKUP(Таблица5[[#Headers],[Код КазНИИСА]],'WV 4.0'!$A:$N,ROW('WV 4.0'!122:122),0),"")</f>
        <v>0</v>
      </c>
      <c r="M133" s="27" t="str">
        <f>IFERROR(HLOOKUP(Таблица5[[#Headers],[РРЦ в тнг]],'WV 4.0'!$A:$N,ROW('WV 4.0'!122:122),0),"")</f>
        <v/>
      </c>
      <c r="N133" s="27" t="str">
        <f>IFERROR(HLOOKUP(Таблица5[[#Headers],[Сумма РРЦ]],'WV 4.0'!$A:$N,ROW('WV 4.0'!122:122),0),"")</f>
        <v/>
      </c>
    </row>
    <row r="134" spans="1:14" x14ac:dyDescent="0.25">
      <c r="A134" s="29">
        <f>IFERROR('WV 4.0'!A123, " ")</f>
        <v>0</v>
      </c>
      <c r="B134" s="29">
        <f>IFERROR('WV 4.0'!B123, " ")</f>
        <v>0</v>
      </c>
      <c r="C134" s="29">
        <f>IFERROR('WV 4.0'!C123, " ")</f>
        <v>0</v>
      </c>
      <c r="D134" s="29">
        <f>IFERROR('WV 4.0'!D123, " ")</f>
        <v>0</v>
      </c>
      <c r="E134" s="29">
        <f>IFERROR('WV 4.0'!E123, " ")</f>
        <v>0</v>
      </c>
      <c r="F134" s="27">
        <f>IFERROR(ROUND(HLOOKUP(Таблица5[[#Headers],[Цена КП]],'WV 4.0'!$A:$N,ROW('WV 4.0'!123:123),0),0),"")</f>
        <v>0</v>
      </c>
      <c r="G134" s="27">
        <f>IFERROR(Таблица5[[#This Row],[Цена КП]]*Таблица5[[#This Row],[Кол-во]],"")</f>
        <v>0</v>
      </c>
      <c r="H134" s="42">
        <f>IFERROR(HLOOKUP(Таблица5[[#Headers],[Комментарии]],'WV 4.0'!$A:$N,ROW('WV 4.0'!123:123),0),"")</f>
        <v>0</v>
      </c>
      <c r="I134" s="42">
        <f>IFERROR(HLOOKUP(Таблица5[[#Headers],[Срок поставки]],'WV 4.0'!$A:$N,ROW('WV 4.0'!123:123),0),"")</f>
        <v>0</v>
      </c>
      <c r="J134" s="27" t="str">
        <f>IFERROR(HLOOKUP(Таблица5[[#Headers],[Цена КазНИИСА]],'WV 4.0'!$A:$N,ROW('WV 4.0'!123:123),0),"")</f>
        <v/>
      </c>
      <c r="K134" s="27" t="str">
        <f>IFERROR(HLOOKUP(Таблица5[[#Headers],[Сумма КазНИИСА]],'WV 4.0'!$A:$N,ROW('WV 4.0'!123:123),0),"")</f>
        <v/>
      </c>
      <c r="L134" s="27">
        <f>IFERROR(HLOOKUP(Таблица5[[#Headers],[Код КазНИИСА]],'WV 4.0'!$A:$N,ROW('WV 4.0'!123:123),0),"")</f>
        <v>0</v>
      </c>
      <c r="M134" s="27" t="str">
        <f>IFERROR(HLOOKUP(Таблица5[[#Headers],[РРЦ в тнг]],'WV 4.0'!$A:$N,ROW('WV 4.0'!123:123),0),"")</f>
        <v/>
      </c>
      <c r="N134" s="27" t="str">
        <f>IFERROR(HLOOKUP(Таблица5[[#Headers],[Сумма РРЦ]],'WV 4.0'!$A:$N,ROW('WV 4.0'!123:123),0),"")</f>
        <v/>
      </c>
    </row>
    <row r="135" spans="1:14" x14ac:dyDescent="0.25">
      <c r="A135" s="29">
        <f>IFERROR('WV 4.0'!A124, " ")</f>
        <v>0</v>
      </c>
      <c r="B135" s="29">
        <f>IFERROR('WV 4.0'!B124, " ")</f>
        <v>0</v>
      </c>
      <c r="C135" s="29">
        <f>IFERROR('WV 4.0'!C124, " ")</f>
        <v>0</v>
      </c>
      <c r="D135" s="29">
        <f>IFERROR('WV 4.0'!D124, " ")</f>
        <v>0</v>
      </c>
      <c r="E135" s="29">
        <f>IFERROR('WV 4.0'!E124, " ")</f>
        <v>0</v>
      </c>
      <c r="F135" s="27">
        <f>IFERROR(ROUND(HLOOKUP(Таблица5[[#Headers],[Цена КП]],'WV 4.0'!$A:$N,ROW('WV 4.0'!124:124),0),0),"")</f>
        <v>0</v>
      </c>
      <c r="G135" s="27">
        <f>IFERROR(Таблица5[[#This Row],[Цена КП]]*Таблица5[[#This Row],[Кол-во]],"")</f>
        <v>0</v>
      </c>
      <c r="H135" s="42">
        <f>IFERROR(HLOOKUP(Таблица5[[#Headers],[Комментарии]],'WV 4.0'!$A:$N,ROW('WV 4.0'!124:124),0),"")</f>
        <v>0</v>
      </c>
      <c r="I135" s="42">
        <f>IFERROR(HLOOKUP(Таблица5[[#Headers],[Срок поставки]],'WV 4.0'!$A:$N,ROW('WV 4.0'!124:124),0),"")</f>
        <v>0</v>
      </c>
      <c r="J135" s="27" t="str">
        <f>IFERROR(HLOOKUP(Таблица5[[#Headers],[Цена КазНИИСА]],'WV 4.0'!$A:$N,ROW('WV 4.0'!124:124),0),"")</f>
        <v/>
      </c>
      <c r="K135" s="27" t="str">
        <f>IFERROR(HLOOKUP(Таблица5[[#Headers],[Сумма КазНИИСА]],'WV 4.0'!$A:$N,ROW('WV 4.0'!124:124),0),"")</f>
        <v/>
      </c>
      <c r="L135" s="27">
        <f>IFERROR(HLOOKUP(Таблица5[[#Headers],[Код КазНИИСА]],'WV 4.0'!$A:$N,ROW('WV 4.0'!124:124),0),"")</f>
        <v>0</v>
      </c>
      <c r="M135" s="27" t="str">
        <f>IFERROR(HLOOKUP(Таблица5[[#Headers],[РРЦ в тнг]],'WV 4.0'!$A:$N,ROW('WV 4.0'!124:124),0),"")</f>
        <v/>
      </c>
      <c r="N135" s="27" t="str">
        <f>IFERROR(HLOOKUP(Таблица5[[#Headers],[Сумма РРЦ]],'WV 4.0'!$A:$N,ROW('WV 4.0'!124:124),0),"")</f>
        <v/>
      </c>
    </row>
    <row r="136" spans="1:14" x14ac:dyDescent="0.25">
      <c r="A136" s="29">
        <f>IFERROR('WV 4.0'!A125, " ")</f>
        <v>0</v>
      </c>
      <c r="B136" s="29">
        <f>IFERROR('WV 4.0'!B125, " ")</f>
        <v>0</v>
      </c>
      <c r="C136" s="29">
        <f>IFERROR('WV 4.0'!C125, " ")</f>
        <v>0</v>
      </c>
      <c r="D136" s="29">
        <f>IFERROR('WV 4.0'!D125, " ")</f>
        <v>0</v>
      </c>
      <c r="E136" s="29">
        <f>IFERROR('WV 4.0'!E125, " ")</f>
        <v>0</v>
      </c>
      <c r="F136" s="27">
        <f>IFERROR(ROUND(HLOOKUP(Таблица5[[#Headers],[Цена КП]],'WV 4.0'!$A:$N,ROW('WV 4.0'!125:125),0),0),"")</f>
        <v>0</v>
      </c>
      <c r="G136" s="27">
        <f>IFERROR(Таблица5[[#This Row],[Цена КП]]*Таблица5[[#This Row],[Кол-во]],"")</f>
        <v>0</v>
      </c>
      <c r="H136" s="42">
        <f>IFERROR(HLOOKUP(Таблица5[[#Headers],[Комментарии]],'WV 4.0'!$A:$N,ROW('WV 4.0'!125:125),0),"")</f>
        <v>0</v>
      </c>
      <c r="I136" s="42">
        <f>IFERROR(HLOOKUP(Таблица5[[#Headers],[Срок поставки]],'WV 4.0'!$A:$N,ROW('WV 4.0'!125:125),0),"")</f>
        <v>0</v>
      </c>
      <c r="J136" s="27" t="str">
        <f>IFERROR(HLOOKUP(Таблица5[[#Headers],[Цена КазНИИСА]],'WV 4.0'!$A:$N,ROW('WV 4.0'!125:125),0),"")</f>
        <v/>
      </c>
      <c r="K136" s="27" t="str">
        <f>IFERROR(HLOOKUP(Таблица5[[#Headers],[Сумма КазНИИСА]],'WV 4.0'!$A:$N,ROW('WV 4.0'!125:125),0),"")</f>
        <v/>
      </c>
      <c r="L136" s="27">
        <f>IFERROR(HLOOKUP(Таблица5[[#Headers],[Код КазНИИСА]],'WV 4.0'!$A:$N,ROW('WV 4.0'!125:125),0),"")</f>
        <v>0</v>
      </c>
      <c r="M136" s="27" t="str">
        <f>IFERROR(HLOOKUP(Таблица5[[#Headers],[РРЦ в тнг]],'WV 4.0'!$A:$N,ROW('WV 4.0'!125:125),0),"")</f>
        <v/>
      </c>
      <c r="N136" s="27" t="str">
        <f>IFERROR(HLOOKUP(Таблица5[[#Headers],[Сумма РРЦ]],'WV 4.0'!$A:$N,ROW('WV 4.0'!125:125),0),"")</f>
        <v/>
      </c>
    </row>
    <row r="137" spans="1:14" x14ac:dyDescent="0.25">
      <c r="A137" s="29">
        <f>IFERROR('WV 4.0'!A126, " ")</f>
        <v>0</v>
      </c>
      <c r="B137" s="29">
        <f>IFERROR('WV 4.0'!B126, " ")</f>
        <v>0</v>
      </c>
      <c r="C137" s="29">
        <f>IFERROR('WV 4.0'!C126, " ")</f>
        <v>0</v>
      </c>
      <c r="D137" s="29">
        <f>IFERROR('WV 4.0'!D126, " ")</f>
        <v>0</v>
      </c>
      <c r="E137" s="29">
        <f>IFERROR('WV 4.0'!E126, " ")</f>
        <v>0</v>
      </c>
      <c r="F137" s="27">
        <f>IFERROR(ROUND(HLOOKUP(Таблица5[[#Headers],[Цена КП]],'WV 4.0'!$A:$N,ROW('WV 4.0'!126:126),0),0),"")</f>
        <v>0</v>
      </c>
      <c r="G137" s="27">
        <f>IFERROR(Таблица5[[#This Row],[Цена КП]]*Таблица5[[#This Row],[Кол-во]],"")</f>
        <v>0</v>
      </c>
      <c r="H137" s="42">
        <f>IFERROR(HLOOKUP(Таблица5[[#Headers],[Комментарии]],'WV 4.0'!$A:$N,ROW('WV 4.0'!126:126),0),"")</f>
        <v>0</v>
      </c>
      <c r="I137" s="42">
        <f>IFERROR(HLOOKUP(Таблица5[[#Headers],[Срок поставки]],'WV 4.0'!$A:$N,ROW('WV 4.0'!126:126),0),"")</f>
        <v>0</v>
      </c>
      <c r="J137" s="27" t="str">
        <f>IFERROR(HLOOKUP(Таблица5[[#Headers],[Цена КазНИИСА]],'WV 4.0'!$A:$N,ROW('WV 4.0'!126:126),0),"")</f>
        <v/>
      </c>
      <c r="K137" s="27" t="str">
        <f>IFERROR(HLOOKUP(Таблица5[[#Headers],[Сумма КазНИИСА]],'WV 4.0'!$A:$N,ROW('WV 4.0'!126:126),0),"")</f>
        <v/>
      </c>
      <c r="L137" s="27">
        <f>IFERROR(HLOOKUP(Таблица5[[#Headers],[Код КазНИИСА]],'WV 4.0'!$A:$N,ROW('WV 4.0'!126:126),0),"")</f>
        <v>0</v>
      </c>
      <c r="M137" s="27" t="str">
        <f>IFERROR(HLOOKUP(Таблица5[[#Headers],[РРЦ в тнг]],'WV 4.0'!$A:$N,ROW('WV 4.0'!126:126),0),"")</f>
        <v/>
      </c>
      <c r="N137" s="27" t="str">
        <f>IFERROR(HLOOKUP(Таблица5[[#Headers],[Сумма РРЦ]],'WV 4.0'!$A:$N,ROW('WV 4.0'!126:126),0),"")</f>
        <v/>
      </c>
    </row>
    <row r="138" spans="1:14" x14ac:dyDescent="0.25">
      <c r="A138" s="29">
        <f>IFERROR('WV 4.0'!A127, " ")</f>
        <v>0</v>
      </c>
      <c r="B138" s="29">
        <f>IFERROR('WV 4.0'!B127, " ")</f>
        <v>0</v>
      </c>
      <c r="C138" s="29">
        <f>IFERROR('WV 4.0'!C127, " ")</f>
        <v>0</v>
      </c>
      <c r="D138" s="29">
        <f>IFERROR('WV 4.0'!D127, " ")</f>
        <v>0</v>
      </c>
      <c r="E138" s="29">
        <f>IFERROR('WV 4.0'!E127, " ")</f>
        <v>0</v>
      </c>
      <c r="F138" s="27">
        <f>IFERROR(ROUND(HLOOKUP(Таблица5[[#Headers],[Цена КП]],'WV 4.0'!$A:$N,ROW('WV 4.0'!127:127),0),0),"")</f>
        <v>0</v>
      </c>
      <c r="G138" s="27">
        <f>IFERROR(Таблица5[[#This Row],[Цена КП]]*Таблица5[[#This Row],[Кол-во]],"")</f>
        <v>0</v>
      </c>
      <c r="H138" s="42">
        <f>IFERROR(HLOOKUP(Таблица5[[#Headers],[Комментарии]],'WV 4.0'!$A:$N,ROW('WV 4.0'!127:127),0),"")</f>
        <v>0</v>
      </c>
      <c r="I138" s="42">
        <f>IFERROR(HLOOKUP(Таблица5[[#Headers],[Срок поставки]],'WV 4.0'!$A:$N,ROW('WV 4.0'!127:127),0),"")</f>
        <v>0</v>
      </c>
      <c r="J138" s="27" t="str">
        <f>IFERROR(HLOOKUP(Таблица5[[#Headers],[Цена КазНИИСА]],'WV 4.0'!$A:$N,ROW('WV 4.0'!127:127),0),"")</f>
        <v/>
      </c>
      <c r="K138" s="27" t="str">
        <f>IFERROR(HLOOKUP(Таблица5[[#Headers],[Сумма КазНИИСА]],'WV 4.0'!$A:$N,ROW('WV 4.0'!127:127),0),"")</f>
        <v/>
      </c>
      <c r="L138" s="27">
        <f>IFERROR(HLOOKUP(Таблица5[[#Headers],[Код КазНИИСА]],'WV 4.0'!$A:$N,ROW('WV 4.0'!127:127),0),"")</f>
        <v>0</v>
      </c>
      <c r="M138" s="27" t="str">
        <f>IFERROR(HLOOKUP(Таблица5[[#Headers],[РРЦ в тнг]],'WV 4.0'!$A:$N,ROW('WV 4.0'!127:127),0),"")</f>
        <v/>
      </c>
      <c r="N138" s="27" t="str">
        <f>IFERROR(HLOOKUP(Таблица5[[#Headers],[Сумма РРЦ]],'WV 4.0'!$A:$N,ROW('WV 4.0'!127:127),0),"")</f>
        <v/>
      </c>
    </row>
    <row r="139" spans="1:14" x14ac:dyDescent="0.25">
      <c r="A139" s="29">
        <f>IFERROR('WV 4.0'!A128, " ")</f>
        <v>0</v>
      </c>
      <c r="B139" s="29">
        <f>IFERROR('WV 4.0'!B128, " ")</f>
        <v>0</v>
      </c>
      <c r="C139" s="29">
        <f>IFERROR('WV 4.0'!C128, " ")</f>
        <v>0</v>
      </c>
      <c r="D139" s="29">
        <f>IFERROR('WV 4.0'!D128, " ")</f>
        <v>0</v>
      </c>
      <c r="E139" s="29">
        <f>IFERROR('WV 4.0'!E128, " ")</f>
        <v>0</v>
      </c>
      <c r="F139" s="27">
        <f>IFERROR(ROUND(HLOOKUP(Таблица5[[#Headers],[Цена КП]],'WV 4.0'!$A:$N,ROW('WV 4.0'!128:128),0),0),"")</f>
        <v>0</v>
      </c>
      <c r="G139" s="27">
        <f>IFERROR(Таблица5[[#This Row],[Цена КП]]*Таблица5[[#This Row],[Кол-во]],"")</f>
        <v>0</v>
      </c>
      <c r="H139" s="42">
        <f>IFERROR(HLOOKUP(Таблица5[[#Headers],[Комментарии]],'WV 4.0'!$A:$N,ROW('WV 4.0'!128:128),0),"")</f>
        <v>0</v>
      </c>
      <c r="I139" s="42">
        <f>IFERROR(HLOOKUP(Таблица5[[#Headers],[Срок поставки]],'WV 4.0'!$A:$N,ROW('WV 4.0'!128:128),0),"")</f>
        <v>0</v>
      </c>
      <c r="J139" s="27" t="str">
        <f>IFERROR(HLOOKUP(Таблица5[[#Headers],[Цена КазНИИСА]],'WV 4.0'!$A:$N,ROW('WV 4.0'!128:128),0),"")</f>
        <v/>
      </c>
      <c r="K139" s="27" t="str">
        <f>IFERROR(HLOOKUP(Таблица5[[#Headers],[Сумма КазНИИСА]],'WV 4.0'!$A:$N,ROW('WV 4.0'!128:128),0),"")</f>
        <v/>
      </c>
      <c r="L139" s="27">
        <f>IFERROR(HLOOKUP(Таблица5[[#Headers],[Код КазНИИСА]],'WV 4.0'!$A:$N,ROW('WV 4.0'!128:128),0),"")</f>
        <v>0</v>
      </c>
      <c r="M139" s="27" t="str">
        <f>IFERROR(HLOOKUP(Таблица5[[#Headers],[РРЦ в тнг]],'WV 4.0'!$A:$N,ROW('WV 4.0'!128:128),0),"")</f>
        <v/>
      </c>
      <c r="N139" s="27" t="str">
        <f>IFERROR(HLOOKUP(Таблица5[[#Headers],[Сумма РРЦ]],'WV 4.0'!$A:$N,ROW('WV 4.0'!128:128),0),"")</f>
        <v/>
      </c>
    </row>
    <row r="140" spans="1:14" x14ac:dyDescent="0.25">
      <c r="A140" s="29">
        <f>IFERROR('WV 4.0'!A129, " ")</f>
        <v>0</v>
      </c>
      <c r="B140" s="29">
        <f>IFERROR('WV 4.0'!B129, " ")</f>
        <v>0</v>
      </c>
      <c r="C140" s="29">
        <f>IFERROR('WV 4.0'!C129, " ")</f>
        <v>0</v>
      </c>
      <c r="D140" s="29">
        <f>IFERROR('WV 4.0'!D129, " ")</f>
        <v>0</v>
      </c>
      <c r="E140" s="29">
        <f>IFERROR('WV 4.0'!E129, " ")</f>
        <v>0</v>
      </c>
      <c r="F140" s="27">
        <f>IFERROR(ROUND(HLOOKUP(Таблица5[[#Headers],[Цена КП]],'WV 4.0'!$A:$N,ROW('WV 4.0'!129:129),0),0),"")</f>
        <v>0</v>
      </c>
      <c r="G140" s="27">
        <f>IFERROR(Таблица5[[#This Row],[Цена КП]]*Таблица5[[#This Row],[Кол-во]],"")</f>
        <v>0</v>
      </c>
      <c r="H140" s="42">
        <f>IFERROR(HLOOKUP(Таблица5[[#Headers],[Комментарии]],'WV 4.0'!$A:$N,ROW('WV 4.0'!129:129),0),"")</f>
        <v>0</v>
      </c>
      <c r="I140" s="42">
        <f>IFERROR(HLOOKUP(Таблица5[[#Headers],[Срок поставки]],'WV 4.0'!$A:$N,ROW('WV 4.0'!129:129),0),"")</f>
        <v>0</v>
      </c>
      <c r="J140" s="27" t="str">
        <f>IFERROR(HLOOKUP(Таблица5[[#Headers],[Цена КазНИИСА]],'WV 4.0'!$A:$N,ROW('WV 4.0'!129:129),0),"")</f>
        <v/>
      </c>
      <c r="K140" s="27" t="str">
        <f>IFERROR(HLOOKUP(Таблица5[[#Headers],[Сумма КазНИИСА]],'WV 4.0'!$A:$N,ROW('WV 4.0'!129:129),0),"")</f>
        <v/>
      </c>
      <c r="L140" s="27">
        <f>IFERROR(HLOOKUP(Таблица5[[#Headers],[Код КазНИИСА]],'WV 4.0'!$A:$N,ROW('WV 4.0'!129:129),0),"")</f>
        <v>0</v>
      </c>
      <c r="M140" s="27" t="str">
        <f>IFERROR(HLOOKUP(Таблица5[[#Headers],[РРЦ в тнг]],'WV 4.0'!$A:$N,ROW('WV 4.0'!129:129),0),"")</f>
        <v/>
      </c>
      <c r="N140" s="27" t="str">
        <f>IFERROR(HLOOKUP(Таблица5[[#Headers],[Сумма РРЦ]],'WV 4.0'!$A:$N,ROW('WV 4.0'!129:129),0),"")</f>
        <v/>
      </c>
    </row>
    <row r="141" spans="1:14" x14ac:dyDescent="0.25">
      <c r="A141" s="29">
        <f>IFERROR('WV 4.0'!A130, " ")</f>
        <v>0</v>
      </c>
      <c r="B141" s="29">
        <f>IFERROR('WV 4.0'!B130, " ")</f>
        <v>0</v>
      </c>
      <c r="C141" s="29">
        <f>IFERROR('WV 4.0'!C130, " ")</f>
        <v>0</v>
      </c>
      <c r="D141" s="29">
        <f>IFERROR('WV 4.0'!D130, " ")</f>
        <v>0</v>
      </c>
      <c r="E141" s="29">
        <f>IFERROR('WV 4.0'!E130, " ")</f>
        <v>0</v>
      </c>
      <c r="F141" s="27">
        <f>IFERROR(ROUND(HLOOKUP(Таблица5[[#Headers],[Цена КП]],'WV 4.0'!$A:$N,ROW('WV 4.0'!130:130),0),0),"")</f>
        <v>0</v>
      </c>
      <c r="G141" s="27">
        <f>IFERROR(Таблица5[[#This Row],[Цена КП]]*Таблица5[[#This Row],[Кол-во]],"")</f>
        <v>0</v>
      </c>
      <c r="H141" s="42">
        <f>IFERROR(HLOOKUP(Таблица5[[#Headers],[Комментарии]],'WV 4.0'!$A:$N,ROW('WV 4.0'!130:130),0),"")</f>
        <v>0</v>
      </c>
      <c r="I141" s="42">
        <f>IFERROR(HLOOKUP(Таблица5[[#Headers],[Срок поставки]],'WV 4.0'!$A:$N,ROW('WV 4.0'!130:130),0),"")</f>
        <v>0</v>
      </c>
      <c r="J141" s="27" t="str">
        <f>IFERROR(HLOOKUP(Таблица5[[#Headers],[Цена КазНИИСА]],'WV 4.0'!$A:$N,ROW('WV 4.0'!130:130),0),"")</f>
        <v/>
      </c>
      <c r="K141" s="27" t="str">
        <f>IFERROR(HLOOKUP(Таблица5[[#Headers],[Сумма КазНИИСА]],'WV 4.0'!$A:$N,ROW('WV 4.0'!130:130),0),"")</f>
        <v/>
      </c>
      <c r="L141" s="27">
        <f>IFERROR(HLOOKUP(Таблица5[[#Headers],[Код КазНИИСА]],'WV 4.0'!$A:$N,ROW('WV 4.0'!130:130),0),"")</f>
        <v>0</v>
      </c>
      <c r="M141" s="27" t="str">
        <f>IFERROR(HLOOKUP(Таблица5[[#Headers],[РРЦ в тнг]],'WV 4.0'!$A:$N,ROW('WV 4.0'!130:130),0),"")</f>
        <v/>
      </c>
      <c r="N141" s="27" t="str">
        <f>IFERROR(HLOOKUP(Таблица5[[#Headers],[Сумма РРЦ]],'WV 4.0'!$A:$N,ROW('WV 4.0'!130:130),0),"")</f>
        <v/>
      </c>
    </row>
    <row r="142" spans="1:14" x14ac:dyDescent="0.25">
      <c r="A142" s="29">
        <f>IFERROR('WV 4.0'!A131, " ")</f>
        <v>0</v>
      </c>
      <c r="B142" s="29">
        <f>IFERROR('WV 4.0'!B131, " ")</f>
        <v>0</v>
      </c>
      <c r="C142" s="29">
        <f>IFERROR('WV 4.0'!C131, " ")</f>
        <v>0</v>
      </c>
      <c r="D142" s="29">
        <f>IFERROR('WV 4.0'!D131, " ")</f>
        <v>0</v>
      </c>
      <c r="E142" s="29">
        <f>IFERROR('WV 4.0'!E131, " ")</f>
        <v>0</v>
      </c>
      <c r="F142" s="27">
        <f>IFERROR(ROUND(HLOOKUP(Таблица5[[#Headers],[Цена КП]],'WV 4.0'!$A:$N,ROW('WV 4.0'!131:131),0),0),"")</f>
        <v>0</v>
      </c>
      <c r="G142" s="27">
        <f>IFERROR(Таблица5[[#This Row],[Цена КП]]*Таблица5[[#This Row],[Кол-во]],"")</f>
        <v>0</v>
      </c>
      <c r="H142" s="42">
        <f>IFERROR(HLOOKUP(Таблица5[[#Headers],[Комментарии]],'WV 4.0'!$A:$N,ROW('WV 4.0'!131:131),0),"")</f>
        <v>0</v>
      </c>
      <c r="I142" s="42">
        <f>IFERROR(HLOOKUP(Таблица5[[#Headers],[Срок поставки]],'WV 4.0'!$A:$N,ROW('WV 4.0'!131:131),0),"")</f>
        <v>0</v>
      </c>
      <c r="J142" s="27" t="str">
        <f>IFERROR(HLOOKUP(Таблица5[[#Headers],[Цена КазНИИСА]],'WV 4.0'!$A:$N,ROW('WV 4.0'!131:131),0),"")</f>
        <v/>
      </c>
      <c r="K142" s="27" t="str">
        <f>IFERROR(HLOOKUP(Таблица5[[#Headers],[Сумма КазНИИСА]],'WV 4.0'!$A:$N,ROW('WV 4.0'!131:131),0),"")</f>
        <v/>
      </c>
      <c r="L142" s="27">
        <f>IFERROR(HLOOKUP(Таблица5[[#Headers],[Код КазНИИСА]],'WV 4.0'!$A:$N,ROW('WV 4.0'!131:131),0),"")</f>
        <v>0</v>
      </c>
      <c r="M142" s="27" t="str">
        <f>IFERROR(HLOOKUP(Таблица5[[#Headers],[РРЦ в тнг]],'WV 4.0'!$A:$N,ROW('WV 4.0'!131:131),0),"")</f>
        <v/>
      </c>
      <c r="N142" s="27" t="str">
        <f>IFERROR(HLOOKUP(Таблица5[[#Headers],[Сумма РРЦ]],'WV 4.0'!$A:$N,ROW('WV 4.0'!131:131),0),"")</f>
        <v/>
      </c>
    </row>
    <row r="143" spans="1:14" x14ac:dyDescent="0.25">
      <c r="A143" s="29">
        <f>IFERROR('WV 4.0'!A132, " ")</f>
        <v>0</v>
      </c>
      <c r="B143" s="29">
        <f>IFERROR('WV 4.0'!B132, " ")</f>
        <v>0</v>
      </c>
      <c r="C143" s="29">
        <f>IFERROR('WV 4.0'!C132, " ")</f>
        <v>0</v>
      </c>
      <c r="D143" s="29">
        <f>IFERROR('WV 4.0'!D132, " ")</f>
        <v>0</v>
      </c>
      <c r="E143" s="29">
        <f>IFERROR('WV 4.0'!E132, " ")</f>
        <v>0</v>
      </c>
      <c r="F143" s="27">
        <f>IFERROR(ROUND(HLOOKUP(Таблица5[[#Headers],[Цена КП]],'WV 4.0'!$A:$N,ROW('WV 4.0'!132:132),0),0),"")</f>
        <v>0</v>
      </c>
      <c r="G143" s="27">
        <f>IFERROR(Таблица5[[#This Row],[Цена КП]]*Таблица5[[#This Row],[Кол-во]],"")</f>
        <v>0</v>
      </c>
      <c r="H143" s="42">
        <f>IFERROR(HLOOKUP(Таблица5[[#Headers],[Комментарии]],'WV 4.0'!$A:$N,ROW('WV 4.0'!132:132),0),"")</f>
        <v>0</v>
      </c>
      <c r="I143" s="42">
        <f>IFERROR(HLOOKUP(Таблица5[[#Headers],[Срок поставки]],'WV 4.0'!$A:$N,ROW('WV 4.0'!132:132),0),"")</f>
        <v>0</v>
      </c>
      <c r="J143" s="27" t="str">
        <f>IFERROR(HLOOKUP(Таблица5[[#Headers],[Цена КазНИИСА]],'WV 4.0'!$A:$N,ROW('WV 4.0'!132:132),0),"")</f>
        <v/>
      </c>
      <c r="K143" s="27" t="str">
        <f>IFERROR(HLOOKUP(Таблица5[[#Headers],[Сумма КазНИИСА]],'WV 4.0'!$A:$N,ROW('WV 4.0'!132:132),0),"")</f>
        <v/>
      </c>
      <c r="L143" s="27">
        <f>IFERROR(HLOOKUP(Таблица5[[#Headers],[Код КазНИИСА]],'WV 4.0'!$A:$N,ROW('WV 4.0'!132:132),0),"")</f>
        <v>0</v>
      </c>
      <c r="M143" s="27" t="str">
        <f>IFERROR(HLOOKUP(Таблица5[[#Headers],[РРЦ в тнг]],'WV 4.0'!$A:$N,ROW('WV 4.0'!132:132),0),"")</f>
        <v/>
      </c>
      <c r="N143" s="27" t="str">
        <f>IFERROR(HLOOKUP(Таблица5[[#Headers],[Сумма РРЦ]],'WV 4.0'!$A:$N,ROW('WV 4.0'!132:132),0),"")</f>
        <v/>
      </c>
    </row>
    <row r="144" spans="1:14" x14ac:dyDescent="0.25">
      <c r="A144" s="29">
        <f>IFERROR('WV 4.0'!A133, " ")</f>
        <v>0</v>
      </c>
      <c r="B144" s="29">
        <f>IFERROR('WV 4.0'!B133, " ")</f>
        <v>0</v>
      </c>
      <c r="C144" s="29">
        <f>IFERROR('WV 4.0'!C133, " ")</f>
        <v>0</v>
      </c>
      <c r="D144" s="29">
        <f>IFERROR('WV 4.0'!D133, " ")</f>
        <v>0</v>
      </c>
      <c r="E144" s="29">
        <f>IFERROR('WV 4.0'!E133, " ")</f>
        <v>0</v>
      </c>
      <c r="F144" s="27">
        <f>IFERROR(ROUND(HLOOKUP(Таблица5[[#Headers],[Цена КП]],'WV 4.0'!$A:$N,ROW('WV 4.0'!133:133),0),0),"")</f>
        <v>0</v>
      </c>
      <c r="G144" s="27">
        <f>IFERROR(Таблица5[[#This Row],[Цена КП]]*Таблица5[[#This Row],[Кол-во]],"")</f>
        <v>0</v>
      </c>
      <c r="H144" s="42">
        <f>IFERROR(HLOOKUP(Таблица5[[#Headers],[Комментарии]],'WV 4.0'!$A:$N,ROW('WV 4.0'!133:133),0),"")</f>
        <v>0</v>
      </c>
      <c r="I144" s="42">
        <f>IFERROR(HLOOKUP(Таблица5[[#Headers],[Срок поставки]],'WV 4.0'!$A:$N,ROW('WV 4.0'!133:133),0),"")</f>
        <v>0</v>
      </c>
      <c r="J144" s="27" t="str">
        <f>IFERROR(HLOOKUP(Таблица5[[#Headers],[Цена КазНИИСА]],'WV 4.0'!$A:$N,ROW('WV 4.0'!133:133),0),"")</f>
        <v/>
      </c>
      <c r="K144" s="27" t="str">
        <f>IFERROR(HLOOKUP(Таблица5[[#Headers],[Сумма КазНИИСА]],'WV 4.0'!$A:$N,ROW('WV 4.0'!133:133),0),"")</f>
        <v/>
      </c>
      <c r="L144" s="27">
        <f>IFERROR(HLOOKUP(Таблица5[[#Headers],[Код КазНИИСА]],'WV 4.0'!$A:$N,ROW('WV 4.0'!133:133),0),"")</f>
        <v>0</v>
      </c>
      <c r="M144" s="27" t="str">
        <f>IFERROR(HLOOKUP(Таблица5[[#Headers],[РРЦ в тнг]],'WV 4.0'!$A:$N,ROW('WV 4.0'!133:133),0),"")</f>
        <v/>
      </c>
      <c r="N144" s="27" t="str">
        <f>IFERROR(HLOOKUP(Таблица5[[#Headers],[Сумма РРЦ]],'WV 4.0'!$A:$N,ROW('WV 4.0'!133:133),0),"")</f>
        <v/>
      </c>
    </row>
    <row r="145" spans="1:14" x14ac:dyDescent="0.25">
      <c r="A145" s="29">
        <f>IFERROR('WV 4.0'!A134, " ")</f>
        <v>0</v>
      </c>
      <c r="B145" s="29">
        <f>IFERROR('WV 4.0'!B134, " ")</f>
        <v>0</v>
      </c>
      <c r="C145" s="29">
        <f>IFERROR('WV 4.0'!C134, " ")</f>
        <v>0</v>
      </c>
      <c r="D145" s="29">
        <f>IFERROR('WV 4.0'!D134, " ")</f>
        <v>0</v>
      </c>
      <c r="E145" s="29">
        <f>IFERROR('WV 4.0'!E134, " ")</f>
        <v>0</v>
      </c>
      <c r="F145" s="27">
        <f>IFERROR(ROUND(HLOOKUP(Таблица5[[#Headers],[Цена КП]],'WV 4.0'!$A:$N,ROW('WV 4.0'!134:134),0),0),"")</f>
        <v>0</v>
      </c>
      <c r="G145" s="27">
        <f>IFERROR(Таблица5[[#This Row],[Цена КП]]*Таблица5[[#This Row],[Кол-во]],"")</f>
        <v>0</v>
      </c>
      <c r="H145" s="42">
        <f>IFERROR(HLOOKUP(Таблица5[[#Headers],[Комментарии]],'WV 4.0'!$A:$N,ROW('WV 4.0'!134:134),0),"")</f>
        <v>0</v>
      </c>
      <c r="I145" s="42">
        <f>IFERROR(HLOOKUP(Таблица5[[#Headers],[Срок поставки]],'WV 4.0'!$A:$N,ROW('WV 4.0'!134:134),0),"")</f>
        <v>0</v>
      </c>
      <c r="J145" s="27" t="str">
        <f>IFERROR(HLOOKUP(Таблица5[[#Headers],[Цена КазНИИСА]],'WV 4.0'!$A:$N,ROW('WV 4.0'!134:134),0),"")</f>
        <v/>
      </c>
      <c r="K145" s="27" t="str">
        <f>IFERROR(HLOOKUP(Таблица5[[#Headers],[Сумма КазНИИСА]],'WV 4.0'!$A:$N,ROW('WV 4.0'!134:134),0),"")</f>
        <v/>
      </c>
      <c r="L145" s="27">
        <f>IFERROR(HLOOKUP(Таблица5[[#Headers],[Код КазНИИСА]],'WV 4.0'!$A:$N,ROW('WV 4.0'!134:134),0),"")</f>
        <v>0</v>
      </c>
      <c r="M145" s="27" t="str">
        <f>IFERROR(HLOOKUP(Таблица5[[#Headers],[РРЦ в тнг]],'WV 4.0'!$A:$N,ROW('WV 4.0'!134:134),0),"")</f>
        <v/>
      </c>
      <c r="N145" s="27" t="str">
        <f>IFERROR(HLOOKUP(Таблица5[[#Headers],[Сумма РРЦ]],'WV 4.0'!$A:$N,ROW('WV 4.0'!134:134),0),"")</f>
        <v/>
      </c>
    </row>
    <row r="146" spans="1:14" x14ac:dyDescent="0.25">
      <c r="A146" s="29">
        <f>IFERROR('WV 4.0'!A135, " ")</f>
        <v>0</v>
      </c>
      <c r="B146" s="29">
        <f>IFERROR('WV 4.0'!B135, " ")</f>
        <v>0</v>
      </c>
      <c r="C146" s="29">
        <f>IFERROR('WV 4.0'!C135, " ")</f>
        <v>0</v>
      </c>
      <c r="D146" s="29">
        <f>IFERROR('WV 4.0'!D135, " ")</f>
        <v>0</v>
      </c>
      <c r="E146" s="29">
        <f>IFERROR('WV 4.0'!E135, " ")</f>
        <v>0</v>
      </c>
      <c r="F146" s="27">
        <f>IFERROR(ROUND(HLOOKUP(Таблица5[[#Headers],[Цена КП]],'WV 4.0'!$A:$N,ROW('WV 4.0'!135:135),0),0),"")</f>
        <v>0</v>
      </c>
      <c r="G146" s="27">
        <f>IFERROR(Таблица5[[#This Row],[Цена КП]]*Таблица5[[#This Row],[Кол-во]],"")</f>
        <v>0</v>
      </c>
      <c r="H146" s="42">
        <f>IFERROR(HLOOKUP(Таблица5[[#Headers],[Комментарии]],'WV 4.0'!$A:$N,ROW('WV 4.0'!135:135),0),"")</f>
        <v>0</v>
      </c>
      <c r="I146" s="42">
        <f>IFERROR(HLOOKUP(Таблица5[[#Headers],[Срок поставки]],'WV 4.0'!$A:$N,ROW('WV 4.0'!135:135),0),"")</f>
        <v>0</v>
      </c>
      <c r="J146" s="27" t="str">
        <f>IFERROR(HLOOKUP(Таблица5[[#Headers],[Цена КазНИИСА]],'WV 4.0'!$A:$N,ROW('WV 4.0'!135:135),0),"")</f>
        <v/>
      </c>
      <c r="K146" s="27" t="str">
        <f>IFERROR(HLOOKUP(Таблица5[[#Headers],[Сумма КазНИИСА]],'WV 4.0'!$A:$N,ROW('WV 4.0'!135:135),0),"")</f>
        <v/>
      </c>
      <c r="L146" s="27">
        <f>IFERROR(HLOOKUP(Таблица5[[#Headers],[Код КазНИИСА]],'WV 4.0'!$A:$N,ROW('WV 4.0'!135:135),0),"")</f>
        <v>0</v>
      </c>
      <c r="M146" s="27" t="str">
        <f>IFERROR(HLOOKUP(Таблица5[[#Headers],[РРЦ в тнг]],'WV 4.0'!$A:$N,ROW('WV 4.0'!135:135),0),"")</f>
        <v/>
      </c>
      <c r="N146" s="27" t="str">
        <f>IFERROR(HLOOKUP(Таблица5[[#Headers],[Сумма РРЦ]],'WV 4.0'!$A:$N,ROW('WV 4.0'!135:135),0),"")</f>
        <v/>
      </c>
    </row>
    <row r="147" spans="1:14" x14ac:dyDescent="0.25">
      <c r="A147" s="29">
        <f>IFERROR('WV 4.0'!A136, " ")</f>
        <v>0</v>
      </c>
      <c r="B147" s="29">
        <f>IFERROR('WV 4.0'!B136, " ")</f>
        <v>0</v>
      </c>
      <c r="C147" s="29">
        <f>IFERROR('WV 4.0'!C136, " ")</f>
        <v>0</v>
      </c>
      <c r="D147" s="29">
        <f>IFERROR('WV 4.0'!D136, " ")</f>
        <v>0</v>
      </c>
      <c r="E147" s="29">
        <f>IFERROR('WV 4.0'!E136, " ")</f>
        <v>0</v>
      </c>
      <c r="F147" s="27">
        <f>IFERROR(ROUND(HLOOKUP(Таблица5[[#Headers],[Цена КП]],'WV 4.0'!$A:$N,ROW('WV 4.0'!136:136),0),0),"")</f>
        <v>0</v>
      </c>
      <c r="G147" s="27">
        <f>IFERROR(Таблица5[[#This Row],[Цена КП]]*Таблица5[[#This Row],[Кол-во]],"")</f>
        <v>0</v>
      </c>
      <c r="H147" s="42">
        <f>IFERROR(HLOOKUP(Таблица5[[#Headers],[Комментарии]],'WV 4.0'!$A:$N,ROW('WV 4.0'!136:136),0),"")</f>
        <v>0</v>
      </c>
      <c r="I147" s="42">
        <f>IFERROR(HLOOKUP(Таблица5[[#Headers],[Срок поставки]],'WV 4.0'!$A:$N,ROW('WV 4.0'!136:136),0),"")</f>
        <v>0</v>
      </c>
      <c r="J147" s="27" t="str">
        <f>IFERROR(HLOOKUP(Таблица5[[#Headers],[Цена КазНИИСА]],'WV 4.0'!$A:$N,ROW('WV 4.0'!136:136),0),"")</f>
        <v/>
      </c>
      <c r="K147" s="27" t="str">
        <f>IFERROR(HLOOKUP(Таблица5[[#Headers],[Сумма КазНИИСА]],'WV 4.0'!$A:$N,ROW('WV 4.0'!136:136),0),"")</f>
        <v/>
      </c>
      <c r="L147" s="27">
        <f>IFERROR(HLOOKUP(Таблица5[[#Headers],[Код КазНИИСА]],'WV 4.0'!$A:$N,ROW('WV 4.0'!136:136),0),"")</f>
        <v>0</v>
      </c>
      <c r="M147" s="27" t="str">
        <f>IFERROR(HLOOKUP(Таблица5[[#Headers],[РРЦ в тнг]],'WV 4.0'!$A:$N,ROW('WV 4.0'!136:136),0),"")</f>
        <v/>
      </c>
      <c r="N147" s="27" t="str">
        <f>IFERROR(HLOOKUP(Таблица5[[#Headers],[Сумма РРЦ]],'WV 4.0'!$A:$N,ROW('WV 4.0'!136:136),0),"")</f>
        <v/>
      </c>
    </row>
    <row r="148" spans="1:14" x14ac:dyDescent="0.25">
      <c r="A148" s="29">
        <f>IFERROR('WV 4.0'!A137, " ")</f>
        <v>0</v>
      </c>
      <c r="B148" s="29">
        <f>IFERROR('WV 4.0'!B137, " ")</f>
        <v>0</v>
      </c>
      <c r="C148" s="29">
        <f>IFERROR('WV 4.0'!C137, " ")</f>
        <v>0</v>
      </c>
      <c r="D148" s="29">
        <f>IFERROR('WV 4.0'!D137, " ")</f>
        <v>0</v>
      </c>
      <c r="E148" s="29">
        <f>IFERROR('WV 4.0'!E137, " ")</f>
        <v>0</v>
      </c>
      <c r="F148" s="27">
        <f>IFERROR(ROUND(HLOOKUP(Таблица5[[#Headers],[Цена КП]],'WV 4.0'!$A:$N,ROW('WV 4.0'!137:137),0),0),"")</f>
        <v>0</v>
      </c>
      <c r="G148" s="27">
        <f>IFERROR(Таблица5[[#This Row],[Цена КП]]*Таблица5[[#This Row],[Кол-во]],"")</f>
        <v>0</v>
      </c>
      <c r="H148" s="42">
        <f>IFERROR(HLOOKUP(Таблица5[[#Headers],[Комментарии]],'WV 4.0'!$A:$N,ROW('WV 4.0'!137:137),0),"")</f>
        <v>0</v>
      </c>
      <c r="I148" s="42">
        <f>IFERROR(HLOOKUP(Таблица5[[#Headers],[Срок поставки]],'WV 4.0'!$A:$N,ROW('WV 4.0'!137:137),0),"")</f>
        <v>0</v>
      </c>
      <c r="J148" s="27" t="str">
        <f>IFERROR(HLOOKUP(Таблица5[[#Headers],[Цена КазНИИСА]],'WV 4.0'!$A:$N,ROW('WV 4.0'!137:137),0),"")</f>
        <v/>
      </c>
      <c r="K148" s="27" t="str">
        <f>IFERROR(HLOOKUP(Таблица5[[#Headers],[Сумма КазНИИСА]],'WV 4.0'!$A:$N,ROW('WV 4.0'!137:137),0),"")</f>
        <v/>
      </c>
      <c r="L148" s="27">
        <f>IFERROR(HLOOKUP(Таблица5[[#Headers],[Код КазНИИСА]],'WV 4.0'!$A:$N,ROW('WV 4.0'!137:137),0),"")</f>
        <v>0</v>
      </c>
      <c r="M148" s="27" t="str">
        <f>IFERROR(HLOOKUP(Таблица5[[#Headers],[РРЦ в тнг]],'WV 4.0'!$A:$N,ROW('WV 4.0'!137:137),0),"")</f>
        <v/>
      </c>
      <c r="N148" s="27" t="str">
        <f>IFERROR(HLOOKUP(Таблица5[[#Headers],[Сумма РРЦ]],'WV 4.0'!$A:$N,ROW('WV 4.0'!137:137),0),"")</f>
        <v/>
      </c>
    </row>
    <row r="149" spans="1:14" x14ac:dyDescent="0.25">
      <c r="A149" s="29">
        <f>IFERROR('WV 4.0'!A138, " ")</f>
        <v>0</v>
      </c>
      <c r="B149" s="29">
        <f>IFERROR('WV 4.0'!B138, " ")</f>
        <v>0</v>
      </c>
      <c r="C149" s="29">
        <f>IFERROR('WV 4.0'!C138, " ")</f>
        <v>0</v>
      </c>
      <c r="D149" s="29">
        <f>IFERROR('WV 4.0'!D138, " ")</f>
        <v>0</v>
      </c>
      <c r="E149" s="29">
        <f>IFERROR('WV 4.0'!E138, " ")</f>
        <v>0</v>
      </c>
      <c r="F149" s="27">
        <f>IFERROR(ROUND(HLOOKUP(Таблица5[[#Headers],[Цена КП]],'WV 4.0'!$A:$N,ROW('WV 4.0'!138:138),0),0),"")</f>
        <v>0</v>
      </c>
      <c r="G149" s="27">
        <f>IFERROR(Таблица5[[#This Row],[Цена КП]]*Таблица5[[#This Row],[Кол-во]],"")</f>
        <v>0</v>
      </c>
      <c r="H149" s="42">
        <f>IFERROR(HLOOKUP(Таблица5[[#Headers],[Комментарии]],'WV 4.0'!$A:$N,ROW('WV 4.0'!138:138),0),"")</f>
        <v>0</v>
      </c>
      <c r="I149" s="42">
        <f>IFERROR(HLOOKUP(Таблица5[[#Headers],[Срок поставки]],'WV 4.0'!$A:$N,ROW('WV 4.0'!138:138),0),"")</f>
        <v>0</v>
      </c>
      <c r="J149" s="27" t="str">
        <f>IFERROR(HLOOKUP(Таблица5[[#Headers],[Цена КазНИИСА]],'WV 4.0'!$A:$N,ROW('WV 4.0'!138:138),0),"")</f>
        <v/>
      </c>
      <c r="K149" s="27" t="str">
        <f>IFERROR(HLOOKUP(Таблица5[[#Headers],[Сумма КазНИИСА]],'WV 4.0'!$A:$N,ROW('WV 4.0'!138:138),0),"")</f>
        <v/>
      </c>
      <c r="L149" s="27">
        <f>IFERROR(HLOOKUP(Таблица5[[#Headers],[Код КазНИИСА]],'WV 4.0'!$A:$N,ROW('WV 4.0'!138:138),0),"")</f>
        <v>0</v>
      </c>
      <c r="M149" s="27" t="str">
        <f>IFERROR(HLOOKUP(Таблица5[[#Headers],[РРЦ в тнг]],'WV 4.0'!$A:$N,ROW('WV 4.0'!138:138),0),"")</f>
        <v/>
      </c>
      <c r="N149" s="27" t="str">
        <f>IFERROR(HLOOKUP(Таблица5[[#Headers],[Сумма РРЦ]],'WV 4.0'!$A:$N,ROW('WV 4.0'!138:138),0),"")</f>
        <v/>
      </c>
    </row>
    <row r="150" spans="1:14" x14ac:dyDescent="0.25">
      <c r="A150" s="29">
        <f>IFERROR('WV 4.0'!A139, " ")</f>
        <v>0</v>
      </c>
      <c r="B150" s="29">
        <f>IFERROR('WV 4.0'!B139, " ")</f>
        <v>0</v>
      </c>
      <c r="C150" s="29">
        <f>IFERROR('WV 4.0'!C139, " ")</f>
        <v>0</v>
      </c>
      <c r="D150" s="29">
        <f>IFERROR('WV 4.0'!D139, " ")</f>
        <v>0</v>
      </c>
      <c r="E150" s="29">
        <f>IFERROR('WV 4.0'!E139, " ")</f>
        <v>0</v>
      </c>
      <c r="F150" s="27">
        <f>IFERROR(ROUND(HLOOKUP(Таблица5[[#Headers],[Цена КП]],'WV 4.0'!$A:$N,ROW('WV 4.0'!139:139),0),0),"")</f>
        <v>0</v>
      </c>
      <c r="G150" s="27">
        <f>IFERROR(Таблица5[[#This Row],[Цена КП]]*Таблица5[[#This Row],[Кол-во]],"")</f>
        <v>0</v>
      </c>
      <c r="H150" s="42">
        <f>IFERROR(HLOOKUP(Таблица5[[#Headers],[Комментарии]],'WV 4.0'!$A:$N,ROW('WV 4.0'!139:139),0),"")</f>
        <v>0</v>
      </c>
      <c r="I150" s="42">
        <f>IFERROR(HLOOKUP(Таблица5[[#Headers],[Срок поставки]],'WV 4.0'!$A:$N,ROW('WV 4.0'!139:139),0),"")</f>
        <v>0</v>
      </c>
      <c r="J150" s="27" t="str">
        <f>IFERROR(HLOOKUP(Таблица5[[#Headers],[Цена КазНИИСА]],'WV 4.0'!$A:$N,ROW('WV 4.0'!139:139),0),"")</f>
        <v/>
      </c>
      <c r="K150" s="27" t="str">
        <f>IFERROR(HLOOKUP(Таблица5[[#Headers],[Сумма КазНИИСА]],'WV 4.0'!$A:$N,ROW('WV 4.0'!139:139),0),"")</f>
        <v/>
      </c>
      <c r="L150" s="27">
        <f>IFERROR(HLOOKUP(Таблица5[[#Headers],[Код КазНИИСА]],'WV 4.0'!$A:$N,ROW('WV 4.0'!139:139),0),"")</f>
        <v>0</v>
      </c>
      <c r="M150" s="27" t="str">
        <f>IFERROR(HLOOKUP(Таблица5[[#Headers],[РРЦ в тнг]],'WV 4.0'!$A:$N,ROW('WV 4.0'!139:139),0),"")</f>
        <v/>
      </c>
      <c r="N150" s="27" t="str">
        <f>IFERROR(HLOOKUP(Таблица5[[#Headers],[Сумма РРЦ]],'WV 4.0'!$A:$N,ROW('WV 4.0'!139:139),0),"")</f>
        <v/>
      </c>
    </row>
    <row r="151" spans="1:14" x14ac:dyDescent="0.25">
      <c r="A151" s="29">
        <f>IFERROR('WV 4.0'!A140, " ")</f>
        <v>0</v>
      </c>
      <c r="B151" s="29">
        <f>IFERROR('WV 4.0'!B140, " ")</f>
        <v>0</v>
      </c>
      <c r="C151" s="29">
        <f>IFERROR('WV 4.0'!C140, " ")</f>
        <v>0</v>
      </c>
      <c r="D151" s="29">
        <f>IFERROR('WV 4.0'!D140, " ")</f>
        <v>0</v>
      </c>
      <c r="E151" s="29">
        <f>IFERROR('WV 4.0'!E140, " ")</f>
        <v>0</v>
      </c>
      <c r="F151" s="27">
        <f>IFERROR(ROUND(HLOOKUP(Таблица5[[#Headers],[Цена КП]],'WV 4.0'!$A:$N,ROW('WV 4.0'!140:140),0),0),"")</f>
        <v>0</v>
      </c>
      <c r="G151" s="27">
        <f>IFERROR(Таблица5[[#This Row],[Цена КП]]*Таблица5[[#This Row],[Кол-во]],"")</f>
        <v>0</v>
      </c>
      <c r="H151" s="42">
        <f>IFERROR(HLOOKUP(Таблица5[[#Headers],[Комментарии]],'WV 4.0'!$A:$N,ROW('WV 4.0'!140:140),0),"")</f>
        <v>0</v>
      </c>
      <c r="I151" s="42">
        <f>IFERROR(HLOOKUP(Таблица5[[#Headers],[Срок поставки]],'WV 4.0'!$A:$N,ROW('WV 4.0'!140:140),0),"")</f>
        <v>0</v>
      </c>
      <c r="J151" s="27" t="str">
        <f>IFERROR(HLOOKUP(Таблица5[[#Headers],[Цена КазНИИСА]],'WV 4.0'!$A:$N,ROW('WV 4.0'!140:140),0),"")</f>
        <v/>
      </c>
      <c r="K151" s="27" t="str">
        <f>IFERROR(HLOOKUP(Таблица5[[#Headers],[Сумма КазНИИСА]],'WV 4.0'!$A:$N,ROW('WV 4.0'!140:140),0),"")</f>
        <v/>
      </c>
      <c r="L151" s="27">
        <f>IFERROR(HLOOKUP(Таблица5[[#Headers],[Код КазНИИСА]],'WV 4.0'!$A:$N,ROW('WV 4.0'!140:140),0),"")</f>
        <v>0</v>
      </c>
      <c r="M151" s="27" t="str">
        <f>IFERROR(HLOOKUP(Таблица5[[#Headers],[РРЦ в тнг]],'WV 4.0'!$A:$N,ROW('WV 4.0'!140:140),0),"")</f>
        <v/>
      </c>
      <c r="N151" s="27" t="str">
        <f>IFERROR(HLOOKUP(Таблица5[[#Headers],[Сумма РРЦ]],'WV 4.0'!$A:$N,ROW('WV 4.0'!140:140),0),"")</f>
        <v/>
      </c>
    </row>
    <row r="152" spans="1:14" x14ac:dyDescent="0.25">
      <c r="A152" s="29">
        <f>IFERROR('WV 4.0'!A141, " ")</f>
        <v>0</v>
      </c>
      <c r="B152" s="29">
        <f>IFERROR('WV 4.0'!B141, " ")</f>
        <v>0</v>
      </c>
      <c r="C152" s="29">
        <f>IFERROR('WV 4.0'!C141, " ")</f>
        <v>0</v>
      </c>
      <c r="D152" s="29">
        <f>IFERROR('WV 4.0'!D141, " ")</f>
        <v>0</v>
      </c>
      <c r="E152" s="29">
        <f>IFERROR('WV 4.0'!E141, " ")</f>
        <v>0</v>
      </c>
      <c r="F152" s="27">
        <f>IFERROR(ROUND(HLOOKUP(Таблица5[[#Headers],[Цена КП]],'WV 4.0'!$A:$N,ROW('WV 4.0'!141:141),0),0),"")</f>
        <v>0</v>
      </c>
      <c r="G152" s="27">
        <f>IFERROR(Таблица5[[#This Row],[Цена КП]]*Таблица5[[#This Row],[Кол-во]],"")</f>
        <v>0</v>
      </c>
      <c r="H152" s="42">
        <f>IFERROR(HLOOKUP(Таблица5[[#Headers],[Комментарии]],'WV 4.0'!$A:$N,ROW('WV 4.0'!141:141),0),"")</f>
        <v>0</v>
      </c>
      <c r="I152" s="42">
        <f>IFERROR(HLOOKUP(Таблица5[[#Headers],[Срок поставки]],'WV 4.0'!$A:$N,ROW('WV 4.0'!141:141),0),"")</f>
        <v>0</v>
      </c>
      <c r="J152" s="27" t="str">
        <f>IFERROR(HLOOKUP(Таблица5[[#Headers],[Цена КазНИИСА]],'WV 4.0'!$A:$N,ROW('WV 4.0'!141:141),0),"")</f>
        <v/>
      </c>
      <c r="K152" s="27" t="str">
        <f>IFERROR(HLOOKUP(Таблица5[[#Headers],[Сумма КазНИИСА]],'WV 4.0'!$A:$N,ROW('WV 4.0'!141:141),0),"")</f>
        <v/>
      </c>
      <c r="L152" s="27">
        <f>IFERROR(HLOOKUP(Таблица5[[#Headers],[Код КазНИИСА]],'WV 4.0'!$A:$N,ROW('WV 4.0'!141:141),0),"")</f>
        <v>0</v>
      </c>
      <c r="M152" s="27" t="str">
        <f>IFERROR(HLOOKUP(Таблица5[[#Headers],[РРЦ в тнг]],'WV 4.0'!$A:$N,ROW('WV 4.0'!141:141),0),"")</f>
        <v/>
      </c>
      <c r="N152" s="27" t="str">
        <f>IFERROR(HLOOKUP(Таблица5[[#Headers],[Сумма РРЦ]],'WV 4.0'!$A:$N,ROW('WV 4.0'!141:141),0),"")</f>
        <v/>
      </c>
    </row>
    <row r="153" spans="1:14" x14ac:dyDescent="0.25">
      <c r="A153" s="29">
        <f>IFERROR('WV 4.0'!A142, " ")</f>
        <v>0</v>
      </c>
      <c r="B153" s="29">
        <f>IFERROR('WV 4.0'!B142, " ")</f>
        <v>0</v>
      </c>
      <c r="C153" s="29">
        <f>IFERROR('WV 4.0'!C142, " ")</f>
        <v>0</v>
      </c>
      <c r="D153" s="29">
        <f>IFERROR('WV 4.0'!D142, " ")</f>
        <v>0</v>
      </c>
      <c r="E153" s="29">
        <f>IFERROR('WV 4.0'!E142, " ")</f>
        <v>0</v>
      </c>
      <c r="F153" s="27">
        <f>IFERROR(ROUND(HLOOKUP(Таблица5[[#Headers],[Цена КП]],'WV 4.0'!$A:$N,ROW('WV 4.0'!142:142),0),0),"")</f>
        <v>0</v>
      </c>
      <c r="G153" s="27">
        <f>IFERROR(Таблица5[[#This Row],[Цена КП]]*Таблица5[[#This Row],[Кол-во]],"")</f>
        <v>0</v>
      </c>
      <c r="H153" s="42">
        <f>IFERROR(HLOOKUP(Таблица5[[#Headers],[Комментарии]],'WV 4.0'!$A:$N,ROW('WV 4.0'!142:142),0),"")</f>
        <v>0</v>
      </c>
      <c r="I153" s="42">
        <f>IFERROR(HLOOKUP(Таблица5[[#Headers],[Срок поставки]],'WV 4.0'!$A:$N,ROW('WV 4.0'!142:142),0),"")</f>
        <v>0</v>
      </c>
      <c r="J153" s="27" t="str">
        <f>IFERROR(HLOOKUP(Таблица5[[#Headers],[Цена КазНИИСА]],'WV 4.0'!$A:$N,ROW('WV 4.0'!142:142),0),"")</f>
        <v/>
      </c>
      <c r="K153" s="27" t="str">
        <f>IFERROR(HLOOKUP(Таблица5[[#Headers],[Сумма КазНИИСА]],'WV 4.0'!$A:$N,ROW('WV 4.0'!142:142),0),"")</f>
        <v/>
      </c>
      <c r="L153" s="27">
        <f>IFERROR(HLOOKUP(Таблица5[[#Headers],[Код КазНИИСА]],'WV 4.0'!$A:$N,ROW('WV 4.0'!142:142),0),"")</f>
        <v>0</v>
      </c>
      <c r="M153" s="27" t="str">
        <f>IFERROR(HLOOKUP(Таблица5[[#Headers],[РРЦ в тнг]],'WV 4.0'!$A:$N,ROW('WV 4.0'!142:142),0),"")</f>
        <v/>
      </c>
      <c r="N153" s="27" t="str">
        <f>IFERROR(HLOOKUP(Таблица5[[#Headers],[Сумма РРЦ]],'WV 4.0'!$A:$N,ROW('WV 4.0'!142:142),0),"")</f>
        <v/>
      </c>
    </row>
    <row r="154" spans="1:14" x14ac:dyDescent="0.25">
      <c r="A154" s="29">
        <f>IFERROR('WV 4.0'!A143, " ")</f>
        <v>0</v>
      </c>
      <c r="B154" s="29">
        <f>IFERROR('WV 4.0'!B143, " ")</f>
        <v>0</v>
      </c>
      <c r="C154" s="29">
        <f>IFERROR('WV 4.0'!C143, " ")</f>
        <v>0</v>
      </c>
      <c r="D154" s="29">
        <f>IFERROR('WV 4.0'!D143, " ")</f>
        <v>0</v>
      </c>
      <c r="E154" s="29">
        <f>IFERROR('WV 4.0'!E143, " ")</f>
        <v>0</v>
      </c>
      <c r="F154" s="27">
        <f>IFERROR(ROUND(HLOOKUP(Таблица5[[#Headers],[Цена КП]],'WV 4.0'!$A:$N,ROW('WV 4.0'!143:143),0),0),"")</f>
        <v>0</v>
      </c>
      <c r="G154" s="27">
        <f>IFERROR(Таблица5[[#This Row],[Цена КП]]*Таблица5[[#This Row],[Кол-во]],"")</f>
        <v>0</v>
      </c>
      <c r="H154" s="42">
        <f>IFERROR(HLOOKUP(Таблица5[[#Headers],[Комментарии]],'WV 4.0'!$A:$N,ROW('WV 4.0'!143:143),0),"")</f>
        <v>0</v>
      </c>
      <c r="I154" s="42">
        <f>IFERROR(HLOOKUP(Таблица5[[#Headers],[Срок поставки]],'WV 4.0'!$A:$N,ROW('WV 4.0'!143:143),0),"")</f>
        <v>0</v>
      </c>
      <c r="J154" s="27" t="str">
        <f>IFERROR(HLOOKUP(Таблица5[[#Headers],[Цена КазНИИСА]],'WV 4.0'!$A:$N,ROW('WV 4.0'!143:143),0),"")</f>
        <v/>
      </c>
      <c r="K154" s="27" t="str">
        <f>IFERROR(HLOOKUP(Таблица5[[#Headers],[Сумма КазНИИСА]],'WV 4.0'!$A:$N,ROW('WV 4.0'!143:143),0),"")</f>
        <v/>
      </c>
      <c r="L154" s="27">
        <f>IFERROR(HLOOKUP(Таблица5[[#Headers],[Код КазНИИСА]],'WV 4.0'!$A:$N,ROW('WV 4.0'!143:143),0),"")</f>
        <v>0</v>
      </c>
      <c r="M154" s="27" t="str">
        <f>IFERROR(HLOOKUP(Таблица5[[#Headers],[РРЦ в тнг]],'WV 4.0'!$A:$N,ROW('WV 4.0'!143:143),0),"")</f>
        <v/>
      </c>
      <c r="N154" s="27" t="str">
        <f>IFERROR(HLOOKUP(Таблица5[[#Headers],[Сумма РРЦ]],'WV 4.0'!$A:$N,ROW('WV 4.0'!143:143),0),"")</f>
        <v/>
      </c>
    </row>
    <row r="155" spans="1:14" x14ac:dyDescent="0.25">
      <c r="A155" s="29">
        <f>IFERROR('WV 4.0'!A144, " ")</f>
        <v>0</v>
      </c>
      <c r="B155" s="29">
        <f>IFERROR('WV 4.0'!B144, " ")</f>
        <v>0</v>
      </c>
      <c r="C155" s="29">
        <f>IFERROR('WV 4.0'!C144, " ")</f>
        <v>0</v>
      </c>
      <c r="D155" s="29">
        <f>IFERROR('WV 4.0'!D144, " ")</f>
        <v>0</v>
      </c>
      <c r="E155" s="29">
        <f>IFERROR('WV 4.0'!E144, " ")</f>
        <v>0</v>
      </c>
      <c r="F155" s="27">
        <f>IFERROR(ROUND(HLOOKUP(Таблица5[[#Headers],[Цена КП]],'WV 4.0'!$A:$N,ROW('WV 4.0'!144:144),0),0),"")</f>
        <v>0</v>
      </c>
      <c r="G155" s="27">
        <f>IFERROR(Таблица5[[#This Row],[Цена КП]]*Таблица5[[#This Row],[Кол-во]],"")</f>
        <v>0</v>
      </c>
      <c r="H155" s="42">
        <f>IFERROR(HLOOKUP(Таблица5[[#Headers],[Комментарии]],'WV 4.0'!$A:$N,ROW('WV 4.0'!144:144),0),"")</f>
        <v>0</v>
      </c>
      <c r="I155" s="42">
        <f>IFERROR(HLOOKUP(Таблица5[[#Headers],[Срок поставки]],'WV 4.0'!$A:$N,ROW('WV 4.0'!144:144),0),"")</f>
        <v>0</v>
      </c>
      <c r="J155" s="27" t="str">
        <f>IFERROR(HLOOKUP(Таблица5[[#Headers],[Цена КазНИИСА]],'WV 4.0'!$A:$N,ROW('WV 4.0'!144:144),0),"")</f>
        <v/>
      </c>
      <c r="K155" s="27" t="str">
        <f>IFERROR(HLOOKUP(Таблица5[[#Headers],[Сумма КазНИИСА]],'WV 4.0'!$A:$N,ROW('WV 4.0'!144:144),0),"")</f>
        <v/>
      </c>
      <c r="L155" s="27">
        <f>IFERROR(HLOOKUP(Таблица5[[#Headers],[Код КазНИИСА]],'WV 4.0'!$A:$N,ROW('WV 4.0'!144:144),0),"")</f>
        <v>0</v>
      </c>
      <c r="M155" s="27" t="str">
        <f>IFERROR(HLOOKUP(Таблица5[[#Headers],[РРЦ в тнг]],'WV 4.0'!$A:$N,ROW('WV 4.0'!144:144),0),"")</f>
        <v/>
      </c>
      <c r="N155" s="27" t="str">
        <f>IFERROR(HLOOKUP(Таблица5[[#Headers],[Сумма РРЦ]],'WV 4.0'!$A:$N,ROW('WV 4.0'!144:144),0),"")</f>
        <v/>
      </c>
    </row>
    <row r="156" spans="1:14" x14ac:dyDescent="0.25">
      <c r="A156" s="29">
        <f>IFERROR('WV 4.0'!A145, " ")</f>
        <v>0</v>
      </c>
      <c r="B156" s="29">
        <f>IFERROR('WV 4.0'!B145, " ")</f>
        <v>0</v>
      </c>
      <c r="C156" s="29">
        <f>IFERROR('WV 4.0'!C145, " ")</f>
        <v>0</v>
      </c>
      <c r="D156" s="29">
        <f>IFERROR('WV 4.0'!D145, " ")</f>
        <v>0</v>
      </c>
      <c r="E156" s="29">
        <f>IFERROR('WV 4.0'!E145, " ")</f>
        <v>0</v>
      </c>
      <c r="F156" s="27">
        <f>IFERROR(ROUND(HLOOKUP(Таблица5[[#Headers],[Цена КП]],'WV 4.0'!$A:$N,ROW('WV 4.0'!145:145),0),0),"")</f>
        <v>0</v>
      </c>
      <c r="G156" s="27">
        <f>IFERROR(Таблица5[[#This Row],[Цена КП]]*Таблица5[[#This Row],[Кол-во]],"")</f>
        <v>0</v>
      </c>
      <c r="H156" s="42">
        <f>IFERROR(HLOOKUP(Таблица5[[#Headers],[Комментарии]],'WV 4.0'!$A:$N,ROW('WV 4.0'!145:145),0),"")</f>
        <v>0</v>
      </c>
      <c r="I156" s="42">
        <f>IFERROR(HLOOKUP(Таблица5[[#Headers],[Срок поставки]],'WV 4.0'!$A:$N,ROW('WV 4.0'!145:145),0),"")</f>
        <v>0</v>
      </c>
      <c r="J156" s="27" t="str">
        <f>IFERROR(HLOOKUP(Таблица5[[#Headers],[Цена КазНИИСА]],'WV 4.0'!$A:$N,ROW('WV 4.0'!145:145),0),"")</f>
        <v/>
      </c>
      <c r="K156" s="27" t="str">
        <f>IFERROR(HLOOKUP(Таблица5[[#Headers],[Сумма КазНИИСА]],'WV 4.0'!$A:$N,ROW('WV 4.0'!145:145),0),"")</f>
        <v/>
      </c>
      <c r="L156" s="27">
        <f>IFERROR(HLOOKUP(Таблица5[[#Headers],[Код КазНИИСА]],'WV 4.0'!$A:$N,ROW('WV 4.0'!145:145),0),"")</f>
        <v>0</v>
      </c>
      <c r="M156" s="27" t="str">
        <f>IFERROR(HLOOKUP(Таблица5[[#Headers],[РРЦ в тнг]],'WV 4.0'!$A:$N,ROW('WV 4.0'!145:145),0),"")</f>
        <v/>
      </c>
      <c r="N156" s="27" t="str">
        <f>IFERROR(HLOOKUP(Таблица5[[#Headers],[Сумма РРЦ]],'WV 4.0'!$A:$N,ROW('WV 4.0'!145:145),0),"")</f>
        <v/>
      </c>
    </row>
    <row r="157" spans="1:14" x14ac:dyDescent="0.25">
      <c r="A157" s="29">
        <f>IFERROR('WV 4.0'!A146, " ")</f>
        <v>0</v>
      </c>
      <c r="B157" s="29">
        <f>IFERROR('WV 4.0'!B146, " ")</f>
        <v>0</v>
      </c>
      <c r="C157" s="29">
        <f>IFERROR('WV 4.0'!C146, " ")</f>
        <v>0</v>
      </c>
      <c r="D157" s="29">
        <f>IFERROR('WV 4.0'!D146, " ")</f>
        <v>0</v>
      </c>
      <c r="E157" s="29">
        <f>IFERROR('WV 4.0'!E146, " ")</f>
        <v>0</v>
      </c>
      <c r="F157" s="27">
        <f>IFERROR(ROUND(HLOOKUP(Таблица5[[#Headers],[Цена КП]],'WV 4.0'!$A:$N,ROW('WV 4.0'!146:146),0),0),"")</f>
        <v>0</v>
      </c>
      <c r="G157" s="27">
        <f>IFERROR(Таблица5[[#This Row],[Цена КП]]*Таблица5[[#This Row],[Кол-во]],"")</f>
        <v>0</v>
      </c>
      <c r="H157" s="42">
        <f>IFERROR(HLOOKUP(Таблица5[[#Headers],[Комментарии]],'WV 4.0'!$A:$N,ROW('WV 4.0'!146:146),0),"")</f>
        <v>0</v>
      </c>
      <c r="I157" s="42">
        <f>IFERROR(HLOOKUP(Таблица5[[#Headers],[Срок поставки]],'WV 4.0'!$A:$N,ROW('WV 4.0'!146:146),0),"")</f>
        <v>0</v>
      </c>
      <c r="J157" s="27" t="str">
        <f>IFERROR(HLOOKUP(Таблица5[[#Headers],[Цена КазНИИСА]],'WV 4.0'!$A:$N,ROW('WV 4.0'!146:146),0),"")</f>
        <v/>
      </c>
      <c r="K157" s="27" t="str">
        <f>IFERROR(HLOOKUP(Таблица5[[#Headers],[Сумма КазНИИСА]],'WV 4.0'!$A:$N,ROW('WV 4.0'!146:146),0),"")</f>
        <v/>
      </c>
      <c r="L157" s="27">
        <f>IFERROR(HLOOKUP(Таблица5[[#Headers],[Код КазНИИСА]],'WV 4.0'!$A:$N,ROW('WV 4.0'!146:146),0),"")</f>
        <v>0</v>
      </c>
      <c r="M157" s="27" t="str">
        <f>IFERROR(HLOOKUP(Таблица5[[#Headers],[РРЦ в тнг]],'WV 4.0'!$A:$N,ROW('WV 4.0'!146:146),0),"")</f>
        <v/>
      </c>
      <c r="N157" s="27" t="str">
        <f>IFERROR(HLOOKUP(Таблица5[[#Headers],[Сумма РРЦ]],'WV 4.0'!$A:$N,ROW('WV 4.0'!146:146),0),"")</f>
        <v/>
      </c>
    </row>
    <row r="158" spans="1:14" x14ac:dyDescent="0.25">
      <c r="A158" s="29">
        <f>IFERROR('WV 4.0'!A147, " ")</f>
        <v>0</v>
      </c>
      <c r="B158" s="29">
        <f>IFERROR('WV 4.0'!B147, " ")</f>
        <v>0</v>
      </c>
      <c r="C158" s="29">
        <f>IFERROR('WV 4.0'!C147, " ")</f>
        <v>0</v>
      </c>
      <c r="D158" s="29">
        <f>IFERROR('WV 4.0'!D147, " ")</f>
        <v>0</v>
      </c>
      <c r="E158" s="29">
        <f>IFERROR('WV 4.0'!E147, " ")</f>
        <v>0</v>
      </c>
      <c r="F158" s="27">
        <f>IFERROR(ROUND(HLOOKUP(Таблица5[[#Headers],[Цена КП]],'WV 4.0'!$A:$N,ROW('WV 4.0'!147:147),0),0),"")</f>
        <v>0</v>
      </c>
      <c r="G158" s="27">
        <f>IFERROR(Таблица5[[#This Row],[Цена КП]]*Таблица5[[#This Row],[Кол-во]],"")</f>
        <v>0</v>
      </c>
      <c r="H158" s="42">
        <f>IFERROR(HLOOKUP(Таблица5[[#Headers],[Комментарии]],'WV 4.0'!$A:$N,ROW('WV 4.0'!147:147),0),"")</f>
        <v>0</v>
      </c>
      <c r="I158" s="42">
        <f>IFERROR(HLOOKUP(Таблица5[[#Headers],[Срок поставки]],'WV 4.0'!$A:$N,ROW('WV 4.0'!147:147),0),"")</f>
        <v>0</v>
      </c>
      <c r="J158" s="27" t="str">
        <f>IFERROR(HLOOKUP(Таблица5[[#Headers],[Цена КазНИИСА]],'WV 4.0'!$A:$N,ROW('WV 4.0'!147:147),0),"")</f>
        <v/>
      </c>
      <c r="K158" s="27" t="str">
        <f>IFERROR(HLOOKUP(Таблица5[[#Headers],[Сумма КазНИИСА]],'WV 4.0'!$A:$N,ROW('WV 4.0'!147:147),0),"")</f>
        <v/>
      </c>
      <c r="L158" s="27">
        <f>IFERROR(HLOOKUP(Таблица5[[#Headers],[Код КазНИИСА]],'WV 4.0'!$A:$N,ROW('WV 4.0'!147:147),0),"")</f>
        <v>0</v>
      </c>
      <c r="M158" s="27" t="str">
        <f>IFERROR(HLOOKUP(Таблица5[[#Headers],[РРЦ в тнг]],'WV 4.0'!$A:$N,ROW('WV 4.0'!147:147),0),"")</f>
        <v/>
      </c>
      <c r="N158" s="27" t="str">
        <f>IFERROR(HLOOKUP(Таблица5[[#Headers],[Сумма РРЦ]],'WV 4.0'!$A:$N,ROW('WV 4.0'!147:147),0),"")</f>
        <v/>
      </c>
    </row>
    <row r="159" spans="1:14" x14ac:dyDescent="0.25">
      <c r="A159" s="29">
        <f>IFERROR('WV 4.0'!A148, " ")</f>
        <v>0</v>
      </c>
      <c r="B159" s="29">
        <f>IFERROR('WV 4.0'!B148, " ")</f>
        <v>0</v>
      </c>
      <c r="C159" s="29">
        <f>IFERROR('WV 4.0'!C148, " ")</f>
        <v>0</v>
      </c>
      <c r="D159" s="29">
        <f>IFERROR('WV 4.0'!D148, " ")</f>
        <v>0</v>
      </c>
      <c r="E159" s="29">
        <f>IFERROR('WV 4.0'!E148, " ")</f>
        <v>0</v>
      </c>
      <c r="F159" s="27">
        <f>IFERROR(ROUND(HLOOKUP(Таблица5[[#Headers],[Цена КП]],'WV 4.0'!$A:$N,ROW('WV 4.0'!148:148),0),0),"")</f>
        <v>0</v>
      </c>
      <c r="G159" s="27">
        <f>IFERROR(Таблица5[[#This Row],[Цена КП]]*Таблица5[[#This Row],[Кол-во]],"")</f>
        <v>0</v>
      </c>
      <c r="H159" s="42">
        <f>IFERROR(HLOOKUP(Таблица5[[#Headers],[Комментарии]],'WV 4.0'!$A:$N,ROW('WV 4.0'!148:148),0),"")</f>
        <v>0</v>
      </c>
      <c r="I159" s="42">
        <f>IFERROR(HLOOKUP(Таблица5[[#Headers],[Срок поставки]],'WV 4.0'!$A:$N,ROW('WV 4.0'!148:148),0),"")</f>
        <v>0</v>
      </c>
      <c r="J159" s="27" t="str">
        <f>IFERROR(HLOOKUP(Таблица5[[#Headers],[Цена КазНИИСА]],'WV 4.0'!$A:$N,ROW('WV 4.0'!148:148),0),"")</f>
        <v/>
      </c>
      <c r="K159" s="27" t="str">
        <f>IFERROR(HLOOKUP(Таблица5[[#Headers],[Сумма КазНИИСА]],'WV 4.0'!$A:$N,ROW('WV 4.0'!148:148),0),"")</f>
        <v/>
      </c>
      <c r="L159" s="27">
        <f>IFERROR(HLOOKUP(Таблица5[[#Headers],[Код КазНИИСА]],'WV 4.0'!$A:$N,ROW('WV 4.0'!148:148),0),"")</f>
        <v>0</v>
      </c>
      <c r="M159" s="27" t="str">
        <f>IFERROR(HLOOKUP(Таблица5[[#Headers],[РРЦ в тнг]],'WV 4.0'!$A:$N,ROW('WV 4.0'!148:148),0),"")</f>
        <v/>
      </c>
      <c r="N159" s="27" t="str">
        <f>IFERROR(HLOOKUP(Таблица5[[#Headers],[Сумма РРЦ]],'WV 4.0'!$A:$N,ROW('WV 4.0'!148:148),0),"")</f>
        <v/>
      </c>
    </row>
    <row r="160" spans="1:14" x14ac:dyDescent="0.25">
      <c r="A160" s="29">
        <f>IFERROR('WV 4.0'!A149, " ")</f>
        <v>0</v>
      </c>
      <c r="B160" s="29">
        <f>IFERROR('WV 4.0'!B149, " ")</f>
        <v>0</v>
      </c>
      <c r="C160" s="29">
        <f>IFERROR('WV 4.0'!C149, " ")</f>
        <v>0</v>
      </c>
      <c r="D160" s="29">
        <f>IFERROR('WV 4.0'!D149, " ")</f>
        <v>0</v>
      </c>
      <c r="E160" s="29">
        <f>IFERROR('WV 4.0'!E149, " ")</f>
        <v>0</v>
      </c>
      <c r="F160" s="27">
        <f>IFERROR(ROUND(HLOOKUP(Таблица5[[#Headers],[Цена КП]],'WV 4.0'!$A:$N,ROW('WV 4.0'!149:149),0),0),"")</f>
        <v>0</v>
      </c>
      <c r="G160" s="27">
        <f>IFERROR(Таблица5[[#This Row],[Цена КП]]*Таблица5[[#This Row],[Кол-во]],"")</f>
        <v>0</v>
      </c>
      <c r="H160" s="42">
        <f>IFERROR(HLOOKUP(Таблица5[[#Headers],[Комментарии]],'WV 4.0'!$A:$N,ROW('WV 4.0'!149:149),0),"")</f>
        <v>0</v>
      </c>
      <c r="I160" s="42">
        <f>IFERROR(HLOOKUP(Таблица5[[#Headers],[Срок поставки]],'WV 4.0'!$A:$N,ROW('WV 4.0'!149:149),0),"")</f>
        <v>0</v>
      </c>
      <c r="J160" s="27" t="str">
        <f>IFERROR(HLOOKUP(Таблица5[[#Headers],[Цена КазНИИСА]],'WV 4.0'!$A:$N,ROW('WV 4.0'!149:149),0),"")</f>
        <v/>
      </c>
      <c r="K160" s="27" t="str">
        <f>IFERROR(HLOOKUP(Таблица5[[#Headers],[Сумма КазНИИСА]],'WV 4.0'!$A:$N,ROW('WV 4.0'!149:149),0),"")</f>
        <v/>
      </c>
      <c r="L160" s="27">
        <f>IFERROR(HLOOKUP(Таблица5[[#Headers],[Код КазНИИСА]],'WV 4.0'!$A:$N,ROW('WV 4.0'!149:149),0),"")</f>
        <v>0</v>
      </c>
      <c r="M160" s="27" t="str">
        <f>IFERROR(HLOOKUP(Таблица5[[#Headers],[РРЦ в тнг]],'WV 4.0'!$A:$N,ROW('WV 4.0'!149:149),0),"")</f>
        <v/>
      </c>
      <c r="N160" s="27" t="str">
        <f>IFERROR(HLOOKUP(Таблица5[[#Headers],[Сумма РРЦ]],'WV 4.0'!$A:$N,ROW('WV 4.0'!149:149),0),"")</f>
        <v/>
      </c>
    </row>
    <row r="161" spans="1:14" x14ac:dyDescent="0.25">
      <c r="A161" s="29">
        <f>IFERROR('WV 4.0'!A150, " ")</f>
        <v>0</v>
      </c>
      <c r="B161" s="29">
        <f>IFERROR('WV 4.0'!B150, " ")</f>
        <v>0</v>
      </c>
      <c r="C161" s="29">
        <f>IFERROR('WV 4.0'!C150, " ")</f>
        <v>0</v>
      </c>
      <c r="D161" s="29">
        <f>IFERROR('WV 4.0'!D150, " ")</f>
        <v>0</v>
      </c>
      <c r="E161" s="29">
        <f>IFERROR('WV 4.0'!E150, " ")</f>
        <v>0</v>
      </c>
      <c r="F161" s="27">
        <f>IFERROR(ROUND(HLOOKUP(Таблица5[[#Headers],[Цена КП]],'WV 4.0'!$A:$N,ROW('WV 4.0'!150:150),0),0),"")</f>
        <v>0</v>
      </c>
      <c r="G161" s="27">
        <f>IFERROR(Таблица5[[#This Row],[Цена КП]]*Таблица5[[#This Row],[Кол-во]],"")</f>
        <v>0</v>
      </c>
      <c r="H161" s="42">
        <f>IFERROR(HLOOKUP(Таблица5[[#Headers],[Комментарии]],'WV 4.0'!$A:$N,ROW('WV 4.0'!150:150),0),"")</f>
        <v>0</v>
      </c>
      <c r="I161" s="42">
        <f>IFERROR(HLOOKUP(Таблица5[[#Headers],[Срок поставки]],'WV 4.0'!$A:$N,ROW('WV 4.0'!150:150),0),"")</f>
        <v>0</v>
      </c>
      <c r="J161" s="27" t="str">
        <f>IFERROR(HLOOKUP(Таблица5[[#Headers],[Цена КазНИИСА]],'WV 4.0'!$A:$N,ROW('WV 4.0'!150:150),0),"")</f>
        <v/>
      </c>
      <c r="K161" s="27" t="str">
        <f>IFERROR(HLOOKUP(Таблица5[[#Headers],[Сумма КазНИИСА]],'WV 4.0'!$A:$N,ROW('WV 4.0'!150:150),0),"")</f>
        <v/>
      </c>
      <c r="L161" s="27">
        <f>IFERROR(HLOOKUP(Таблица5[[#Headers],[Код КазНИИСА]],'WV 4.0'!$A:$N,ROW('WV 4.0'!150:150),0),"")</f>
        <v>0</v>
      </c>
      <c r="M161" s="27" t="str">
        <f>IFERROR(HLOOKUP(Таблица5[[#Headers],[РРЦ в тнг]],'WV 4.0'!$A:$N,ROW('WV 4.0'!150:150),0),"")</f>
        <v/>
      </c>
      <c r="N161" s="27" t="str">
        <f>IFERROR(HLOOKUP(Таблица5[[#Headers],[Сумма РРЦ]],'WV 4.0'!$A:$N,ROW('WV 4.0'!150:150),0),"")</f>
        <v/>
      </c>
    </row>
    <row r="162" spans="1:14" x14ac:dyDescent="0.25">
      <c r="A162" s="29">
        <f>IFERROR('WV 4.0'!A151, " ")</f>
        <v>0</v>
      </c>
      <c r="B162" s="29">
        <f>IFERROR('WV 4.0'!B151, " ")</f>
        <v>0</v>
      </c>
      <c r="C162" s="29">
        <f>IFERROR('WV 4.0'!C151, " ")</f>
        <v>0</v>
      </c>
      <c r="D162" s="29">
        <f>IFERROR('WV 4.0'!D151, " ")</f>
        <v>0</v>
      </c>
      <c r="E162" s="29">
        <f>IFERROR('WV 4.0'!E151, " ")</f>
        <v>0</v>
      </c>
      <c r="F162" s="27">
        <f>IFERROR(ROUND(HLOOKUP(Таблица5[[#Headers],[Цена КП]],'WV 4.0'!$A:$N,ROW('WV 4.0'!151:151),0),0),"")</f>
        <v>0</v>
      </c>
      <c r="G162" s="27">
        <f>IFERROR(Таблица5[[#This Row],[Цена КП]]*Таблица5[[#This Row],[Кол-во]],"")</f>
        <v>0</v>
      </c>
      <c r="H162" s="42">
        <f>IFERROR(HLOOKUP(Таблица5[[#Headers],[Комментарии]],'WV 4.0'!$A:$N,ROW('WV 4.0'!151:151),0),"")</f>
        <v>0</v>
      </c>
      <c r="I162" s="42">
        <f>IFERROR(HLOOKUP(Таблица5[[#Headers],[Срок поставки]],'WV 4.0'!$A:$N,ROW('WV 4.0'!151:151),0),"")</f>
        <v>0</v>
      </c>
      <c r="J162" s="27" t="str">
        <f>IFERROR(HLOOKUP(Таблица5[[#Headers],[Цена КазНИИСА]],'WV 4.0'!$A:$N,ROW('WV 4.0'!151:151),0),"")</f>
        <v/>
      </c>
      <c r="K162" s="27" t="str">
        <f>IFERROR(HLOOKUP(Таблица5[[#Headers],[Сумма КазНИИСА]],'WV 4.0'!$A:$N,ROW('WV 4.0'!151:151),0),"")</f>
        <v/>
      </c>
      <c r="L162" s="27">
        <f>IFERROR(HLOOKUP(Таблица5[[#Headers],[Код КазНИИСА]],'WV 4.0'!$A:$N,ROW('WV 4.0'!151:151),0),"")</f>
        <v>0</v>
      </c>
      <c r="M162" s="27" t="str">
        <f>IFERROR(HLOOKUP(Таблица5[[#Headers],[РРЦ в тнг]],'WV 4.0'!$A:$N,ROW('WV 4.0'!151:151),0),"")</f>
        <v/>
      </c>
      <c r="N162" s="27" t="str">
        <f>IFERROR(HLOOKUP(Таблица5[[#Headers],[Сумма РРЦ]],'WV 4.0'!$A:$N,ROW('WV 4.0'!151:151),0),"")</f>
        <v/>
      </c>
    </row>
    <row r="163" spans="1:14" x14ac:dyDescent="0.25">
      <c r="A163" s="29">
        <f>IFERROR('WV 4.0'!A152, " ")</f>
        <v>0</v>
      </c>
      <c r="B163" s="29">
        <f>IFERROR('WV 4.0'!B152, " ")</f>
        <v>0</v>
      </c>
      <c r="C163" s="29">
        <f>IFERROR('WV 4.0'!C152, " ")</f>
        <v>0</v>
      </c>
      <c r="D163" s="29">
        <f>IFERROR('WV 4.0'!D152, " ")</f>
        <v>0</v>
      </c>
      <c r="E163" s="29">
        <f>IFERROR('WV 4.0'!E152, " ")</f>
        <v>0</v>
      </c>
      <c r="F163" s="27">
        <f>IFERROR(ROUND(HLOOKUP(Таблица5[[#Headers],[Цена КП]],'WV 4.0'!$A:$N,ROW('WV 4.0'!152:152),0),0),"")</f>
        <v>0</v>
      </c>
      <c r="G163" s="27">
        <f>IFERROR(Таблица5[[#This Row],[Цена КП]]*Таблица5[[#This Row],[Кол-во]],"")</f>
        <v>0</v>
      </c>
      <c r="H163" s="42">
        <f>IFERROR(HLOOKUP(Таблица5[[#Headers],[Комментарии]],'WV 4.0'!$A:$N,ROW('WV 4.0'!152:152),0),"")</f>
        <v>0</v>
      </c>
      <c r="I163" s="42">
        <f>IFERROR(HLOOKUP(Таблица5[[#Headers],[Срок поставки]],'WV 4.0'!$A:$N,ROW('WV 4.0'!152:152),0),"")</f>
        <v>0</v>
      </c>
      <c r="J163" s="27" t="str">
        <f>IFERROR(HLOOKUP(Таблица5[[#Headers],[Цена КазНИИСА]],'WV 4.0'!$A:$N,ROW('WV 4.0'!152:152),0),"")</f>
        <v/>
      </c>
      <c r="K163" s="27" t="str">
        <f>IFERROR(HLOOKUP(Таблица5[[#Headers],[Сумма КазНИИСА]],'WV 4.0'!$A:$N,ROW('WV 4.0'!152:152),0),"")</f>
        <v/>
      </c>
      <c r="L163" s="27">
        <f>IFERROR(HLOOKUP(Таблица5[[#Headers],[Код КазНИИСА]],'WV 4.0'!$A:$N,ROW('WV 4.0'!152:152),0),"")</f>
        <v>0</v>
      </c>
      <c r="M163" s="27" t="str">
        <f>IFERROR(HLOOKUP(Таблица5[[#Headers],[РРЦ в тнг]],'WV 4.0'!$A:$N,ROW('WV 4.0'!152:152),0),"")</f>
        <v/>
      </c>
      <c r="N163" s="27" t="str">
        <f>IFERROR(HLOOKUP(Таблица5[[#Headers],[Сумма РРЦ]],'WV 4.0'!$A:$N,ROW('WV 4.0'!152:152),0),"")</f>
        <v/>
      </c>
    </row>
    <row r="164" spans="1:14" x14ac:dyDescent="0.25">
      <c r="A164" s="29">
        <f>IFERROR('WV 4.0'!A153, " ")</f>
        <v>0</v>
      </c>
      <c r="B164" s="29">
        <f>IFERROR('WV 4.0'!B153, " ")</f>
        <v>0</v>
      </c>
      <c r="C164" s="29">
        <f>IFERROR('WV 4.0'!C153, " ")</f>
        <v>0</v>
      </c>
      <c r="D164" s="29">
        <f>IFERROR('WV 4.0'!D153, " ")</f>
        <v>0</v>
      </c>
      <c r="E164" s="29">
        <f>IFERROR('WV 4.0'!E153, " ")</f>
        <v>0</v>
      </c>
      <c r="F164" s="27">
        <f>IFERROR(ROUND(HLOOKUP(Таблица5[[#Headers],[Цена КП]],'WV 4.0'!$A:$N,ROW('WV 4.0'!153:153),0),0),"")</f>
        <v>0</v>
      </c>
      <c r="G164" s="27">
        <f>IFERROR(Таблица5[[#This Row],[Цена КП]]*Таблица5[[#This Row],[Кол-во]],"")</f>
        <v>0</v>
      </c>
      <c r="H164" s="42">
        <f>IFERROR(HLOOKUP(Таблица5[[#Headers],[Комментарии]],'WV 4.0'!$A:$N,ROW('WV 4.0'!153:153),0),"")</f>
        <v>0</v>
      </c>
      <c r="I164" s="42">
        <f>IFERROR(HLOOKUP(Таблица5[[#Headers],[Срок поставки]],'WV 4.0'!$A:$N,ROW('WV 4.0'!153:153),0),"")</f>
        <v>0</v>
      </c>
      <c r="J164" s="27" t="str">
        <f>IFERROR(HLOOKUP(Таблица5[[#Headers],[Цена КазНИИСА]],'WV 4.0'!$A:$N,ROW('WV 4.0'!153:153),0),"")</f>
        <v/>
      </c>
      <c r="K164" s="27" t="str">
        <f>IFERROR(HLOOKUP(Таблица5[[#Headers],[Сумма КазНИИСА]],'WV 4.0'!$A:$N,ROW('WV 4.0'!153:153),0),"")</f>
        <v/>
      </c>
      <c r="L164" s="27">
        <f>IFERROR(HLOOKUP(Таблица5[[#Headers],[Код КазНИИСА]],'WV 4.0'!$A:$N,ROW('WV 4.0'!153:153),0),"")</f>
        <v>0</v>
      </c>
      <c r="M164" s="27" t="str">
        <f>IFERROR(HLOOKUP(Таблица5[[#Headers],[РРЦ в тнг]],'WV 4.0'!$A:$N,ROW('WV 4.0'!153:153),0),"")</f>
        <v/>
      </c>
      <c r="N164" s="27" t="str">
        <f>IFERROR(HLOOKUP(Таблица5[[#Headers],[Сумма РРЦ]],'WV 4.0'!$A:$N,ROW('WV 4.0'!153:153),0),"")</f>
        <v/>
      </c>
    </row>
    <row r="165" spans="1:14" x14ac:dyDescent="0.25">
      <c r="A165" s="29">
        <f>IFERROR('WV 4.0'!A154, " ")</f>
        <v>0</v>
      </c>
      <c r="B165" s="29">
        <f>IFERROR('WV 4.0'!B154, " ")</f>
        <v>0</v>
      </c>
      <c r="C165" s="29">
        <f>IFERROR('WV 4.0'!C154, " ")</f>
        <v>0</v>
      </c>
      <c r="D165" s="29">
        <f>IFERROR('WV 4.0'!D154, " ")</f>
        <v>0</v>
      </c>
      <c r="E165" s="29">
        <f>IFERROR('WV 4.0'!E154, " ")</f>
        <v>0</v>
      </c>
      <c r="F165" s="27">
        <f>IFERROR(ROUND(HLOOKUP(Таблица5[[#Headers],[Цена КП]],'WV 4.0'!$A:$N,ROW('WV 4.0'!154:154),0),0),"")</f>
        <v>0</v>
      </c>
      <c r="G165" s="27">
        <f>IFERROR(Таблица5[[#This Row],[Цена КП]]*Таблица5[[#This Row],[Кол-во]],"")</f>
        <v>0</v>
      </c>
      <c r="H165" s="42">
        <f>IFERROR(HLOOKUP(Таблица5[[#Headers],[Комментарии]],'WV 4.0'!$A:$N,ROW('WV 4.0'!154:154),0),"")</f>
        <v>0</v>
      </c>
      <c r="I165" s="42">
        <f>IFERROR(HLOOKUP(Таблица5[[#Headers],[Срок поставки]],'WV 4.0'!$A:$N,ROW('WV 4.0'!154:154),0),"")</f>
        <v>0</v>
      </c>
      <c r="J165" s="27" t="str">
        <f>IFERROR(HLOOKUP(Таблица5[[#Headers],[Цена КазНИИСА]],'WV 4.0'!$A:$N,ROW('WV 4.0'!154:154),0),"")</f>
        <v/>
      </c>
      <c r="K165" s="27" t="str">
        <f>IFERROR(HLOOKUP(Таблица5[[#Headers],[Сумма КазНИИСА]],'WV 4.0'!$A:$N,ROW('WV 4.0'!154:154),0),"")</f>
        <v/>
      </c>
      <c r="L165" s="27">
        <f>IFERROR(HLOOKUP(Таблица5[[#Headers],[Код КазНИИСА]],'WV 4.0'!$A:$N,ROW('WV 4.0'!154:154),0),"")</f>
        <v>0</v>
      </c>
      <c r="M165" s="27" t="str">
        <f>IFERROR(HLOOKUP(Таблица5[[#Headers],[РРЦ в тнг]],'WV 4.0'!$A:$N,ROW('WV 4.0'!154:154),0),"")</f>
        <v/>
      </c>
      <c r="N165" s="27" t="str">
        <f>IFERROR(HLOOKUP(Таблица5[[#Headers],[Сумма РРЦ]],'WV 4.0'!$A:$N,ROW('WV 4.0'!154:154),0),"")</f>
        <v/>
      </c>
    </row>
    <row r="166" spans="1:14" x14ac:dyDescent="0.25">
      <c r="A166" s="29">
        <f>IFERROR('WV 4.0'!A155, " ")</f>
        <v>0</v>
      </c>
      <c r="B166" s="29">
        <f>IFERROR('WV 4.0'!B155, " ")</f>
        <v>0</v>
      </c>
      <c r="C166" s="29">
        <f>IFERROR('WV 4.0'!C155, " ")</f>
        <v>0</v>
      </c>
      <c r="D166" s="29">
        <f>IFERROR('WV 4.0'!D155, " ")</f>
        <v>0</v>
      </c>
      <c r="E166" s="29">
        <f>IFERROR('WV 4.0'!E155, " ")</f>
        <v>0</v>
      </c>
      <c r="F166" s="27">
        <f>IFERROR(ROUND(HLOOKUP(Таблица5[[#Headers],[Цена КП]],'WV 4.0'!$A:$N,ROW('WV 4.0'!155:155),0),0),"")</f>
        <v>0</v>
      </c>
      <c r="G166" s="27">
        <f>IFERROR(Таблица5[[#This Row],[Цена КП]]*Таблица5[[#This Row],[Кол-во]],"")</f>
        <v>0</v>
      </c>
      <c r="H166" s="42">
        <f>IFERROR(HLOOKUP(Таблица5[[#Headers],[Комментарии]],'WV 4.0'!$A:$N,ROW('WV 4.0'!155:155),0),"")</f>
        <v>0</v>
      </c>
      <c r="I166" s="42">
        <f>IFERROR(HLOOKUP(Таблица5[[#Headers],[Срок поставки]],'WV 4.0'!$A:$N,ROW('WV 4.0'!155:155),0),"")</f>
        <v>0</v>
      </c>
      <c r="J166" s="27" t="str">
        <f>IFERROR(HLOOKUP(Таблица5[[#Headers],[Цена КазНИИСА]],'WV 4.0'!$A:$N,ROW('WV 4.0'!155:155),0),"")</f>
        <v/>
      </c>
      <c r="K166" s="27" t="str">
        <f>IFERROR(HLOOKUP(Таблица5[[#Headers],[Сумма КазНИИСА]],'WV 4.0'!$A:$N,ROW('WV 4.0'!155:155),0),"")</f>
        <v/>
      </c>
      <c r="L166" s="27">
        <f>IFERROR(HLOOKUP(Таблица5[[#Headers],[Код КазНИИСА]],'WV 4.0'!$A:$N,ROW('WV 4.0'!155:155),0),"")</f>
        <v>0</v>
      </c>
      <c r="M166" s="27" t="str">
        <f>IFERROR(HLOOKUP(Таблица5[[#Headers],[РРЦ в тнг]],'WV 4.0'!$A:$N,ROW('WV 4.0'!155:155),0),"")</f>
        <v/>
      </c>
      <c r="N166" s="27" t="str">
        <f>IFERROR(HLOOKUP(Таблица5[[#Headers],[Сумма РРЦ]],'WV 4.0'!$A:$N,ROW('WV 4.0'!155:155),0),"")</f>
        <v/>
      </c>
    </row>
    <row r="167" spans="1:14" x14ac:dyDescent="0.25">
      <c r="A167" s="29">
        <f>IFERROR('WV 4.0'!A156, " ")</f>
        <v>0</v>
      </c>
      <c r="B167" s="29">
        <f>IFERROR('WV 4.0'!B156, " ")</f>
        <v>0</v>
      </c>
      <c r="C167" s="29">
        <f>IFERROR('WV 4.0'!C156, " ")</f>
        <v>0</v>
      </c>
      <c r="D167" s="29">
        <f>IFERROR('WV 4.0'!D156, " ")</f>
        <v>0</v>
      </c>
      <c r="E167" s="29">
        <f>IFERROR('WV 4.0'!E156, " ")</f>
        <v>0</v>
      </c>
      <c r="F167" s="27">
        <f>IFERROR(ROUND(HLOOKUP(Таблица5[[#Headers],[Цена КП]],'WV 4.0'!$A:$N,ROW('WV 4.0'!156:156),0),0),"")</f>
        <v>0</v>
      </c>
      <c r="G167" s="27">
        <f>IFERROR(Таблица5[[#This Row],[Цена КП]]*Таблица5[[#This Row],[Кол-во]],"")</f>
        <v>0</v>
      </c>
      <c r="H167" s="42">
        <f>IFERROR(HLOOKUP(Таблица5[[#Headers],[Комментарии]],'WV 4.0'!$A:$N,ROW('WV 4.0'!156:156),0),"")</f>
        <v>0</v>
      </c>
      <c r="I167" s="42">
        <f>IFERROR(HLOOKUP(Таблица5[[#Headers],[Срок поставки]],'WV 4.0'!$A:$N,ROW('WV 4.0'!156:156),0),"")</f>
        <v>0</v>
      </c>
      <c r="J167" s="27" t="str">
        <f>IFERROR(HLOOKUP(Таблица5[[#Headers],[Цена КазНИИСА]],'WV 4.0'!$A:$N,ROW('WV 4.0'!156:156),0),"")</f>
        <v/>
      </c>
      <c r="K167" s="27" t="str">
        <f>IFERROR(HLOOKUP(Таблица5[[#Headers],[Сумма КазНИИСА]],'WV 4.0'!$A:$N,ROW('WV 4.0'!156:156),0),"")</f>
        <v/>
      </c>
      <c r="L167" s="27">
        <f>IFERROR(HLOOKUP(Таблица5[[#Headers],[Код КазНИИСА]],'WV 4.0'!$A:$N,ROW('WV 4.0'!156:156),0),"")</f>
        <v>0</v>
      </c>
      <c r="M167" s="27" t="str">
        <f>IFERROR(HLOOKUP(Таблица5[[#Headers],[РРЦ в тнг]],'WV 4.0'!$A:$N,ROW('WV 4.0'!156:156),0),"")</f>
        <v/>
      </c>
      <c r="N167" s="27" t="str">
        <f>IFERROR(HLOOKUP(Таблица5[[#Headers],[Сумма РРЦ]],'WV 4.0'!$A:$N,ROW('WV 4.0'!156:156),0),"")</f>
        <v/>
      </c>
    </row>
    <row r="168" spans="1:14" x14ac:dyDescent="0.25">
      <c r="A168" s="29">
        <f>IFERROR('WV 4.0'!A157, " ")</f>
        <v>0</v>
      </c>
      <c r="B168" s="29">
        <f>IFERROR('WV 4.0'!B157, " ")</f>
        <v>0</v>
      </c>
      <c r="C168" s="29">
        <f>IFERROR('WV 4.0'!C157, " ")</f>
        <v>0</v>
      </c>
      <c r="D168" s="29">
        <f>IFERROR('WV 4.0'!D157, " ")</f>
        <v>0</v>
      </c>
      <c r="E168" s="29">
        <f>IFERROR('WV 4.0'!E157, " ")</f>
        <v>0</v>
      </c>
      <c r="F168" s="27">
        <f>IFERROR(ROUND(HLOOKUP(Таблица5[[#Headers],[Цена КП]],'WV 4.0'!$A:$N,ROW('WV 4.0'!157:157),0),0),"")</f>
        <v>0</v>
      </c>
      <c r="G168" s="27">
        <f>IFERROR(Таблица5[[#This Row],[Цена КП]]*Таблица5[[#This Row],[Кол-во]],"")</f>
        <v>0</v>
      </c>
      <c r="H168" s="42">
        <f>IFERROR(HLOOKUP(Таблица5[[#Headers],[Комментарии]],'WV 4.0'!$A:$N,ROW('WV 4.0'!157:157),0),"")</f>
        <v>0</v>
      </c>
      <c r="I168" s="42">
        <f>IFERROR(HLOOKUP(Таблица5[[#Headers],[Срок поставки]],'WV 4.0'!$A:$N,ROW('WV 4.0'!157:157),0),"")</f>
        <v>0</v>
      </c>
      <c r="J168" s="27" t="str">
        <f>IFERROR(HLOOKUP(Таблица5[[#Headers],[Цена КазНИИСА]],'WV 4.0'!$A:$N,ROW('WV 4.0'!157:157),0),"")</f>
        <v/>
      </c>
      <c r="K168" s="27" t="str">
        <f>IFERROR(HLOOKUP(Таблица5[[#Headers],[Сумма КазНИИСА]],'WV 4.0'!$A:$N,ROW('WV 4.0'!157:157),0),"")</f>
        <v/>
      </c>
      <c r="L168" s="27">
        <f>IFERROR(HLOOKUP(Таблица5[[#Headers],[Код КазНИИСА]],'WV 4.0'!$A:$N,ROW('WV 4.0'!157:157),0),"")</f>
        <v>0</v>
      </c>
      <c r="M168" s="27" t="str">
        <f>IFERROR(HLOOKUP(Таблица5[[#Headers],[РРЦ в тнг]],'WV 4.0'!$A:$N,ROW('WV 4.0'!157:157),0),"")</f>
        <v/>
      </c>
      <c r="N168" s="27" t="str">
        <f>IFERROR(HLOOKUP(Таблица5[[#Headers],[Сумма РРЦ]],'WV 4.0'!$A:$N,ROW('WV 4.0'!157:157),0),"")</f>
        <v/>
      </c>
    </row>
    <row r="169" spans="1:14" x14ac:dyDescent="0.25">
      <c r="A169" s="29">
        <f>IFERROR('WV 4.0'!A158, " ")</f>
        <v>0</v>
      </c>
      <c r="B169" s="29">
        <f>IFERROR('WV 4.0'!B158, " ")</f>
        <v>0</v>
      </c>
      <c r="C169" s="29">
        <f>IFERROR('WV 4.0'!C158, " ")</f>
        <v>0</v>
      </c>
      <c r="D169" s="29">
        <f>IFERROR('WV 4.0'!D158, " ")</f>
        <v>0</v>
      </c>
      <c r="E169" s="29">
        <f>IFERROR('WV 4.0'!E158, " ")</f>
        <v>0</v>
      </c>
      <c r="F169" s="27">
        <f>IFERROR(ROUND(HLOOKUP(Таблица5[[#Headers],[Цена КП]],'WV 4.0'!$A:$N,ROW('WV 4.0'!158:158),0),0),"")</f>
        <v>0</v>
      </c>
      <c r="G169" s="27">
        <f>IFERROR(Таблица5[[#This Row],[Цена КП]]*Таблица5[[#This Row],[Кол-во]],"")</f>
        <v>0</v>
      </c>
      <c r="H169" s="42">
        <f>IFERROR(HLOOKUP(Таблица5[[#Headers],[Комментарии]],'WV 4.0'!$A:$N,ROW('WV 4.0'!158:158),0),"")</f>
        <v>0</v>
      </c>
      <c r="I169" s="42">
        <f>IFERROR(HLOOKUP(Таблица5[[#Headers],[Срок поставки]],'WV 4.0'!$A:$N,ROW('WV 4.0'!158:158),0),"")</f>
        <v>0</v>
      </c>
      <c r="J169" s="27" t="str">
        <f>IFERROR(HLOOKUP(Таблица5[[#Headers],[Цена КазНИИСА]],'WV 4.0'!$A:$N,ROW('WV 4.0'!158:158),0),"")</f>
        <v/>
      </c>
      <c r="K169" s="27" t="str">
        <f>IFERROR(HLOOKUP(Таблица5[[#Headers],[Сумма КазНИИСА]],'WV 4.0'!$A:$N,ROW('WV 4.0'!158:158),0),"")</f>
        <v/>
      </c>
      <c r="L169" s="27">
        <f>IFERROR(HLOOKUP(Таблица5[[#Headers],[Код КазНИИСА]],'WV 4.0'!$A:$N,ROW('WV 4.0'!158:158),0),"")</f>
        <v>0</v>
      </c>
      <c r="M169" s="27" t="str">
        <f>IFERROR(HLOOKUP(Таблица5[[#Headers],[РРЦ в тнг]],'WV 4.0'!$A:$N,ROW('WV 4.0'!158:158),0),"")</f>
        <v/>
      </c>
      <c r="N169" s="27" t="str">
        <f>IFERROR(HLOOKUP(Таблица5[[#Headers],[Сумма РРЦ]],'WV 4.0'!$A:$N,ROW('WV 4.0'!158:158),0),"")</f>
        <v/>
      </c>
    </row>
    <row r="170" spans="1:14" x14ac:dyDescent="0.25">
      <c r="A170" s="29">
        <f>IFERROR('WV 4.0'!A159, " ")</f>
        <v>0</v>
      </c>
      <c r="B170" s="29">
        <f>IFERROR('WV 4.0'!B159, " ")</f>
        <v>0</v>
      </c>
      <c r="C170" s="29">
        <f>IFERROR('WV 4.0'!C159, " ")</f>
        <v>0</v>
      </c>
      <c r="D170" s="29">
        <f>IFERROR('WV 4.0'!D159, " ")</f>
        <v>0</v>
      </c>
      <c r="E170" s="29">
        <f>IFERROR('WV 4.0'!E159, " ")</f>
        <v>0</v>
      </c>
      <c r="F170" s="27">
        <f>IFERROR(ROUND(HLOOKUP(Таблица5[[#Headers],[Цена КП]],'WV 4.0'!$A:$N,ROW('WV 4.0'!159:159),0),0),"")</f>
        <v>0</v>
      </c>
      <c r="G170" s="27">
        <f>IFERROR(Таблица5[[#This Row],[Цена КП]]*Таблица5[[#This Row],[Кол-во]],"")</f>
        <v>0</v>
      </c>
      <c r="H170" s="42">
        <f>IFERROR(HLOOKUP(Таблица5[[#Headers],[Комментарии]],'WV 4.0'!$A:$N,ROW('WV 4.0'!159:159),0),"")</f>
        <v>0</v>
      </c>
      <c r="I170" s="42">
        <f>IFERROR(HLOOKUP(Таблица5[[#Headers],[Срок поставки]],'WV 4.0'!$A:$N,ROW('WV 4.0'!159:159),0),"")</f>
        <v>0</v>
      </c>
      <c r="J170" s="27" t="str">
        <f>IFERROR(HLOOKUP(Таблица5[[#Headers],[Цена КазНИИСА]],'WV 4.0'!$A:$N,ROW('WV 4.0'!159:159),0),"")</f>
        <v/>
      </c>
      <c r="K170" s="27" t="str">
        <f>IFERROR(HLOOKUP(Таблица5[[#Headers],[Сумма КазНИИСА]],'WV 4.0'!$A:$N,ROW('WV 4.0'!159:159),0),"")</f>
        <v/>
      </c>
      <c r="L170" s="27">
        <f>IFERROR(HLOOKUP(Таблица5[[#Headers],[Код КазНИИСА]],'WV 4.0'!$A:$N,ROW('WV 4.0'!159:159),0),"")</f>
        <v>0</v>
      </c>
      <c r="M170" s="27" t="str">
        <f>IFERROR(HLOOKUP(Таблица5[[#Headers],[РРЦ в тнг]],'WV 4.0'!$A:$N,ROW('WV 4.0'!159:159),0),"")</f>
        <v/>
      </c>
      <c r="N170" s="27" t="str">
        <f>IFERROR(HLOOKUP(Таблица5[[#Headers],[Сумма РРЦ]],'WV 4.0'!$A:$N,ROW('WV 4.0'!159:159),0),"")</f>
        <v/>
      </c>
    </row>
    <row r="171" spans="1:14" x14ac:dyDescent="0.25">
      <c r="A171" s="29">
        <f>IFERROR('WV 4.0'!A160, " ")</f>
        <v>0</v>
      </c>
      <c r="B171" s="29">
        <f>IFERROR('WV 4.0'!B160, " ")</f>
        <v>0</v>
      </c>
      <c r="C171" s="29">
        <f>IFERROR('WV 4.0'!C160, " ")</f>
        <v>0</v>
      </c>
      <c r="D171" s="29">
        <f>IFERROR('WV 4.0'!D160, " ")</f>
        <v>0</v>
      </c>
      <c r="E171" s="29">
        <f>IFERROR('WV 4.0'!E160, " ")</f>
        <v>0</v>
      </c>
      <c r="F171" s="27">
        <f>IFERROR(ROUND(HLOOKUP(Таблица5[[#Headers],[Цена КП]],'WV 4.0'!$A:$N,ROW('WV 4.0'!160:160),0),0),"")</f>
        <v>0</v>
      </c>
      <c r="G171" s="27">
        <f>IFERROR(Таблица5[[#This Row],[Цена КП]]*Таблица5[[#This Row],[Кол-во]],"")</f>
        <v>0</v>
      </c>
      <c r="H171" s="42">
        <f>IFERROR(HLOOKUP(Таблица5[[#Headers],[Комментарии]],'WV 4.0'!$A:$N,ROW('WV 4.0'!160:160),0),"")</f>
        <v>0</v>
      </c>
      <c r="I171" s="42">
        <f>IFERROR(HLOOKUP(Таблица5[[#Headers],[Срок поставки]],'WV 4.0'!$A:$N,ROW('WV 4.0'!160:160),0),"")</f>
        <v>0</v>
      </c>
      <c r="J171" s="27" t="str">
        <f>IFERROR(HLOOKUP(Таблица5[[#Headers],[Цена КазНИИСА]],'WV 4.0'!$A:$N,ROW('WV 4.0'!160:160),0),"")</f>
        <v/>
      </c>
      <c r="K171" s="27" t="str">
        <f>IFERROR(HLOOKUP(Таблица5[[#Headers],[Сумма КазНИИСА]],'WV 4.0'!$A:$N,ROW('WV 4.0'!160:160),0),"")</f>
        <v/>
      </c>
      <c r="L171" s="27">
        <f>IFERROR(HLOOKUP(Таблица5[[#Headers],[Код КазНИИСА]],'WV 4.0'!$A:$N,ROW('WV 4.0'!160:160),0),"")</f>
        <v>0</v>
      </c>
      <c r="M171" s="27" t="str">
        <f>IFERROR(HLOOKUP(Таблица5[[#Headers],[РРЦ в тнг]],'WV 4.0'!$A:$N,ROW('WV 4.0'!160:160),0),"")</f>
        <v/>
      </c>
      <c r="N171" s="27" t="str">
        <f>IFERROR(HLOOKUP(Таблица5[[#Headers],[Сумма РРЦ]],'WV 4.0'!$A:$N,ROW('WV 4.0'!160:160),0),"")</f>
        <v/>
      </c>
    </row>
    <row r="172" spans="1:14" x14ac:dyDescent="0.25">
      <c r="A172" s="29">
        <f>IFERROR('WV 4.0'!A161, " ")</f>
        <v>0</v>
      </c>
      <c r="B172" s="29">
        <f>IFERROR('WV 4.0'!B161, " ")</f>
        <v>0</v>
      </c>
      <c r="C172" s="29">
        <f>IFERROR('WV 4.0'!C161, " ")</f>
        <v>0</v>
      </c>
      <c r="D172" s="29">
        <f>IFERROR('WV 4.0'!D161, " ")</f>
        <v>0</v>
      </c>
      <c r="E172" s="29">
        <f>IFERROR('WV 4.0'!E161, " ")</f>
        <v>0</v>
      </c>
      <c r="F172" s="27">
        <f>IFERROR(ROUND(HLOOKUP(Таблица5[[#Headers],[Цена КП]],'WV 4.0'!$A:$N,ROW('WV 4.0'!161:161),0),0),"")</f>
        <v>0</v>
      </c>
      <c r="G172" s="27">
        <f>IFERROR(Таблица5[[#This Row],[Цена КП]]*Таблица5[[#This Row],[Кол-во]],"")</f>
        <v>0</v>
      </c>
      <c r="H172" s="42">
        <f>IFERROR(HLOOKUP(Таблица5[[#Headers],[Комментарии]],'WV 4.0'!$A:$N,ROW('WV 4.0'!161:161),0),"")</f>
        <v>0</v>
      </c>
      <c r="I172" s="42">
        <f>IFERROR(HLOOKUP(Таблица5[[#Headers],[Срок поставки]],'WV 4.0'!$A:$N,ROW('WV 4.0'!161:161),0),"")</f>
        <v>0</v>
      </c>
      <c r="J172" s="27" t="str">
        <f>IFERROR(HLOOKUP(Таблица5[[#Headers],[Цена КазНИИСА]],'WV 4.0'!$A:$N,ROW('WV 4.0'!161:161),0),"")</f>
        <v/>
      </c>
      <c r="K172" s="27" t="str">
        <f>IFERROR(HLOOKUP(Таблица5[[#Headers],[Сумма КазНИИСА]],'WV 4.0'!$A:$N,ROW('WV 4.0'!161:161),0),"")</f>
        <v/>
      </c>
      <c r="L172" s="27">
        <f>IFERROR(HLOOKUP(Таблица5[[#Headers],[Код КазНИИСА]],'WV 4.0'!$A:$N,ROW('WV 4.0'!161:161),0),"")</f>
        <v>0</v>
      </c>
      <c r="M172" s="27" t="str">
        <f>IFERROR(HLOOKUP(Таблица5[[#Headers],[РРЦ в тнг]],'WV 4.0'!$A:$N,ROW('WV 4.0'!161:161),0),"")</f>
        <v/>
      </c>
      <c r="N172" s="27" t="str">
        <f>IFERROR(HLOOKUP(Таблица5[[#Headers],[Сумма РРЦ]],'WV 4.0'!$A:$N,ROW('WV 4.0'!161:161),0),"")</f>
        <v/>
      </c>
    </row>
    <row r="173" spans="1:14" x14ac:dyDescent="0.25">
      <c r="A173" s="29">
        <f>IFERROR('WV 4.0'!A162, " ")</f>
        <v>0</v>
      </c>
      <c r="B173" s="29">
        <f>IFERROR('WV 4.0'!B162, " ")</f>
        <v>0</v>
      </c>
      <c r="C173" s="29">
        <f>IFERROR('WV 4.0'!C162, " ")</f>
        <v>0</v>
      </c>
      <c r="D173" s="29">
        <f>IFERROR('WV 4.0'!D162, " ")</f>
        <v>0</v>
      </c>
      <c r="E173" s="29">
        <f>IFERROR('WV 4.0'!E162, " ")</f>
        <v>0</v>
      </c>
      <c r="F173" s="27">
        <f>IFERROR(ROUND(HLOOKUP(Таблица5[[#Headers],[Цена КП]],'WV 4.0'!$A:$N,ROW('WV 4.0'!162:162),0),0),"")</f>
        <v>0</v>
      </c>
      <c r="G173" s="27">
        <f>IFERROR(Таблица5[[#This Row],[Цена КП]]*Таблица5[[#This Row],[Кол-во]],"")</f>
        <v>0</v>
      </c>
      <c r="H173" s="42">
        <f>IFERROR(HLOOKUP(Таблица5[[#Headers],[Комментарии]],'WV 4.0'!$A:$N,ROW('WV 4.0'!162:162),0),"")</f>
        <v>0</v>
      </c>
      <c r="I173" s="42">
        <f>IFERROR(HLOOKUP(Таблица5[[#Headers],[Срок поставки]],'WV 4.0'!$A:$N,ROW('WV 4.0'!162:162),0),"")</f>
        <v>0</v>
      </c>
      <c r="J173" s="27" t="str">
        <f>IFERROR(HLOOKUP(Таблица5[[#Headers],[Цена КазНИИСА]],'WV 4.0'!$A:$N,ROW('WV 4.0'!162:162),0),"")</f>
        <v/>
      </c>
      <c r="K173" s="27" t="str">
        <f>IFERROR(HLOOKUP(Таблица5[[#Headers],[Сумма КазНИИСА]],'WV 4.0'!$A:$N,ROW('WV 4.0'!162:162),0),"")</f>
        <v/>
      </c>
      <c r="L173" s="27">
        <f>IFERROR(HLOOKUP(Таблица5[[#Headers],[Код КазНИИСА]],'WV 4.0'!$A:$N,ROW('WV 4.0'!162:162),0),"")</f>
        <v>0</v>
      </c>
      <c r="M173" s="27" t="str">
        <f>IFERROR(HLOOKUP(Таблица5[[#Headers],[РРЦ в тнг]],'WV 4.0'!$A:$N,ROW('WV 4.0'!162:162),0),"")</f>
        <v/>
      </c>
      <c r="N173" s="27" t="str">
        <f>IFERROR(HLOOKUP(Таблица5[[#Headers],[Сумма РРЦ]],'WV 4.0'!$A:$N,ROW('WV 4.0'!162:162),0),"")</f>
        <v/>
      </c>
    </row>
    <row r="174" spans="1:14" x14ac:dyDescent="0.25">
      <c r="A174" s="29">
        <f>IFERROR('WV 4.0'!A163, " ")</f>
        <v>0</v>
      </c>
      <c r="B174" s="29">
        <f>IFERROR('WV 4.0'!B163, " ")</f>
        <v>0</v>
      </c>
      <c r="C174" s="29">
        <f>IFERROR('WV 4.0'!C163, " ")</f>
        <v>0</v>
      </c>
      <c r="D174" s="29">
        <f>IFERROR('WV 4.0'!D163, " ")</f>
        <v>0</v>
      </c>
      <c r="E174" s="29">
        <f>IFERROR('WV 4.0'!E163, " ")</f>
        <v>0</v>
      </c>
      <c r="F174" s="27">
        <f>IFERROR(ROUND(HLOOKUP(Таблица5[[#Headers],[Цена КП]],'WV 4.0'!$A:$N,ROW('WV 4.0'!163:163),0),0),"")</f>
        <v>0</v>
      </c>
      <c r="G174" s="27">
        <f>IFERROR(Таблица5[[#This Row],[Цена КП]]*Таблица5[[#This Row],[Кол-во]],"")</f>
        <v>0</v>
      </c>
      <c r="H174" s="42">
        <f>IFERROR(HLOOKUP(Таблица5[[#Headers],[Комментарии]],'WV 4.0'!$A:$N,ROW('WV 4.0'!163:163),0),"")</f>
        <v>0</v>
      </c>
      <c r="I174" s="42">
        <f>IFERROR(HLOOKUP(Таблица5[[#Headers],[Срок поставки]],'WV 4.0'!$A:$N,ROW('WV 4.0'!163:163),0),"")</f>
        <v>0</v>
      </c>
      <c r="J174" s="27" t="str">
        <f>IFERROR(HLOOKUP(Таблица5[[#Headers],[Цена КазНИИСА]],'WV 4.0'!$A:$N,ROW('WV 4.0'!163:163),0),"")</f>
        <v/>
      </c>
      <c r="K174" s="27" t="str">
        <f>IFERROR(HLOOKUP(Таблица5[[#Headers],[Сумма КазНИИСА]],'WV 4.0'!$A:$N,ROW('WV 4.0'!163:163),0),"")</f>
        <v/>
      </c>
      <c r="L174" s="27">
        <f>IFERROR(HLOOKUP(Таблица5[[#Headers],[Код КазНИИСА]],'WV 4.0'!$A:$N,ROW('WV 4.0'!163:163),0),"")</f>
        <v>0</v>
      </c>
      <c r="M174" s="27" t="str">
        <f>IFERROR(HLOOKUP(Таблица5[[#Headers],[РРЦ в тнг]],'WV 4.0'!$A:$N,ROW('WV 4.0'!163:163),0),"")</f>
        <v/>
      </c>
      <c r="N174" s="27" t="str">
        <f>IFERROR(HLOOKUP(Таблица5[[#Headers],[Сумма РРЦ]],'WV 4.0'!$A:$N,ROW('WV 4.0'!163:163),0),"")</f>
        <v/>
      </c>
    </row>
    <row r="175" spans="1:14" x14ac:dyDescent="0.25">
      <c r="A175" s="29">
        <f>IFERROR('WV 4.0'!A164, " ")</f>
        <v>0</v>
      </c>
      <c r="B175" s="29">
        <f>IFERROR('WV 4.0'!B164, " ")</f>
        <v>0</v>
      </c>
      <c r="C175" s="29">
        <f>IFERROR('WV 4.0'!C164, " ")</f>
        <v>0</v>
      </c>
      <c r="D175" s="29">
        <f>IFERROR('WV 4.0'!D164, " ")</f>
        <v>0</v>
      </c>
      <c r="E175" s="29">
        <f>IFERROR('WV 4.0'!E164, " ")</f>
        <v>0</v>
      </c>
      <c r="F175" s="27">
        <f>IFERROR(ROUND(HLOOKUP(Таблица5[[#Headers],[Цена КП]],'WV 4.0'!$A:$N,ROW('WV 4.0'!164:164),0),0),"")</f>
        <v>0</v>
      </c>
      <c r="G175" s="27">
        <f>IFERROR(Таблица5[[#This Row],[Цена КП]]*Таблица5[[#This Row],[Кол-во]],"")</f>
        <v>0</v>
      </c>
      <c r="H175" s="42">
        <f>IFERROR(HLOOKUP(Таблица5[[#Headers],[Комментарии]],'WV 4.0'!$A:$N,ROW('WV 4.0'!164:164),0),"")</f>
        <v>0</v>
      </c>
      <c r="I175" s="42">
        <f>IFERROR(HLOOKUP(Таблица5[[#Headers],[Срок поставки]],'WV 4.0'!$A:$N,ROW('WV 4.0'!164:164),0),"")</f>
        <v>0</v>
      </c>
      <c r="J175" s="27" t="str">
        <f>IFERROR(HLOOKUP(Таблица5[[#Headers],[Цена КазНИИСА]],'WV 4.0'!$A:$N,ROW('WV 4.0'!164:164),0),"")</f>
        <v/>
      </c>
      <c r="K175" s="27" t="str">
        <f>IFERROR(HLOOKUP(Таблица5[[#Headers],[Сумма КазНИИСА]],'WV 4.0'!$A:$N,ROW('WV 4.0'!164:164),0),"")</f>
        <v/>
      </c>
      <c r="L175" s="27">
        <f>IFERROR(HLOOKUP(Таблица5[[#Headers],[Код КазНИИСА]],'WV 4.0'!$A:$N,ROW('WV 4.0'!164:164),0),"")</f>
        <v>0</v>
      </c>
      <c r="M175" s="27" t="str">
        <f>IFERROR(HLOOKUP(Таблица5[[#Headers],[РРЦ в тнг]],'WV 4.0'!$A:$N,ROW('WV 4.0'!164:164),0),"")</f>
        <v/>
      </c>
      <c r="N175" s="27" t="str">
        <f>IFERROR(HLOOKUP(Таблица5[[#Headers],[Сумма РРЦ]],'WV 4.0'!$A:$N,ROW('WV 4.0'!164:164),0),"")</f>
        <v/>
      </c>
    </row>
    <row r="176" spans="1:14" x14ac:dyDescent="0.25">
      <c r="A176" s="29">
        <f>IFERROR('WV 4.0'!A165, " ")</f>
        <v>0</v>
      </c>
      <c r="B176" s="29">
        <f>IFERROR('WV 4.0'!B165, " ")</f>
        <v>0</v>
      </c>
      <c r="C176" s="29">
        <f>IFERROR('WV 4.0'!C165, " ")</f>
        <v>0</v>
      </c>
      <c r="D176" s="29">
        <f>IFERROR('WV 4.0'!D165, " ")</f>
        <v>0</v>
      </c>
      <c r="E176" s="29">
        <f>IFERROR('WV 4.0'!E165, " ")</f>
        <v>0</v>
      </c>
      <c r="F176" s="27">
        <f>IFERROR(ROUND(HLOOKUP(Таблица5[[#Headers],[Цена КП]],'WV 4.0'!$A:$N,ROW('WV 4.0'!165:165),0),0),"")</f>
        <v>0</v>
      </c>
      <c r="G176" s="27">
        <f>IFERROR(Таблица5[[#This Row],[Цена КП]]*Таблица5[[#This Row],[Кол-во]],"")</f>
        <v>0</v>
      </c>
      <c r="H176" s="42">
        <f>IFERROR(HLOOKUP(Таблица5[[#Headers],[Комментарии]],'WV 4.0'!$A:$N,ROW('WV 4.0'!165:165),0),"")</f>
        <v>0</v>
      </c>
      <c r="I176" s="42">
        <f>IFERROR(HLOOKUP(Таблица5[[#Headers],[Срок поставки]],'WV 4.0'!$A:$N,ROW('WV 4.0'!165:165),0),"")</f>
        <v>0</v>
      </c>
      <c r="J176" s="27" t="str">
        <f>IFERROR(HLOOKUP(Таблица5[[#Headers],[Цена КазНИИСА]],'WV 4.0'!$A:$N,ROW('WV 4.0'!165:165),0),"")</f>
        <v/>
      </c>
      <c r="K176" s="27" t="str">
        <f>IFERROR(HLOOKUP(Таблица5[[#Headers],[Сумма КазНИИСА]],'WV 4.0'!$A:$N,ROW('WV 4.0'!165:165),0),"")</f>
        <v/>
      </c>
      <c r="L176" s="27">
        <f>IFERROR(HLOOKUP(Таблица5[[#Headers],[Код КазНИИСА]],'WV 4.0'!$A:$N,ROW('WV 4.0'!165:165),0),"")</f>
        <v>0</v>
      </c>
      <c r="M176" s="27" t="str">
        <f>IFERROR(HLOOKUP(Таблица5[[#Headers],[РРЦ в тнг]],'WV 4.0'!$A:$N,ROW('WV 4.0'!165:165),0),"")</f>
        <v/>
      </c>
      <c r="N176" s="27" t="str">
        <f>IFERROR(HLOOKUP(Таблица5[[#Headers],[Сумма РРЦ]],'WV 4.0'!$A:$N,ROW('WV 4.0'!165:165),0),"")</f>
        <v/>
      </c>
    </row>
    <row r="177" spans="1:14" x14ac:dyDescent="0.25">
      <c r="A177" s="29">
        <f>IFERROR('WV 4.0'!A166, " ")</f>
        <v>0</v>
      </c>
      <c r="B177" s="29">
        <f>IFERROR('WV 4.0'!B166, " ")</f>
        <v>0</v>
      </c>
      <c r="C177" s="29">
        <f>IFERROR('WV 4.0'!C166, " ")</f>
        <v>0</v>
      </c>
      <c r="D177" s="29">
        <f>IFERROR('WV 4.0'!D166, " ")</f>
        <v>0</v>
      </c>
      <c r="E177" s="29">
        <f>IFERROR('WV 4.0'!E166, " ")</f>
        <v>0</v>
      </c>
      <c r="F177" s="27">
        <f>IFERROR(ROUND(HLOOKUP(Таблица5[[#Headers],[Цена КП]],'WV 4.0'!$A:$N,ROW('WV 4.0'!166:166),0),0),"")</f>
        <v>0</v>
      </c>
      <c r="G177" s="27">
        <f>IFERROR(Таблица5[[#This Row],[Цена КП]]*Таблица5[[#This Row],[Кол-во]],"")</f>
        <v>0</v>
      </c>
      <c r="H177" s="42">
        <f>IFERROR(HLOOKUP(Таблица5[[#Headers],[Комментарии]],'WV 4.0'!$A:$N,ROW('WV 4.0'!166:166),0),"")</f>
        <v>0</v>
      </c>
      <c r="I177" s="42">
        <f>IFERROR(HLOOKUP(Таблица5[[#Headers],[Срок поставки]],'WV 4.0'!$A:$N,ROW('WV 4.0'!166:166),0),"")</f>
        <v>0</v>
      </c>
      <c r="J177" s="27" t="str">
        <f>IFERROR(HLOOKUP(Таблица5[[#Headers],[Цена КазНИИСА]],'WV 4.0'!$A:$N,ROW('WV 4.0'!166:166),0),"")</f>
        <v/>
      </c>
      <c r="K177" s="27" t="str">
        <f>IFERROR(HLOOKUP(Таблица5[[#Headers],[Сумма КазНИИСА]],'WV 4.0'!$A:$N,ROW('WV 4.0'!166:166),0),"")</f>
        <v/>
      </c>
      <c r="L177" s="27">
        <f>IFERROR(HLOOKUP(Таблица5[[#Headers],[Код КазНИИСА]],'WV 4.0'!$A:$N,ROW('WV 4.0'!166:166),0),"")</f>
        <v>0</v>
      </c>
      <c r="M177" s="27" t="str">
        <f>IFERROR(HLOOKUP(Таблица5[[#Headers],[РРЦ в тнг]],'WV 4.0'!$A:$N,ROW('WV 4.0'!166:166),0),"")</f>
        <v/>
      </c>
      <c r="N177" s="27" t="str">
        <f>IFERROR(HLOOKUP(Таблица5[[#Headers],[Сумма РРЦ]],'WV 4.0'!$A:$N,ROW('WV 4.0'!166:166),0),"")</f>
        <v/>
      </c>
    </row>
    <row r="178" spans="1:14" x14ac:dyDescent="0.25">
      <c r="A178" s="29">
        <f>IFERROR('WV 4.0'!A167, " ")</f>
        <v>0</v>
      </c>
      <c r="B178" s="29">
        <f>IFERROR('WV 4.0'!B167, " ")</f>
        <v>0</v>
      </c>
      <c r="C178" s="29">
        <f>IFERROR('WV 4.0'!C167, " ")</f>
        <v>0</v>
      </c>
      <c r="D178" s="29">
        <f>IFERROR('WV 4.0'!D167, " ")</f>
        <v>0</v>
      </c>
      <c r="E178" s="29">
        <f>IFERROR('WV 4.0'!E167, " ")</f>
        <v>0</v>
      </c>
      <c r="F178" s="27">
        <f>IFERROR(ROUND(HLOOKUP(Таблица5[[#Headers],[Цена КП]],'WV 4.0'!$A:$N,ROW('WV 4.0'!167:167),0),0),"")</f>
        <v>0</v>
      </c>
      <c r="G178" s="27">
        <f>IFERROR(Таблица5[[#This Row],[Цена КП]]*Таблица5[[#This Row],[Кол-во]],"")</f>
        <v>0</v>
      </c>
      <c r="H178" s="42">
        <f>IFERROR(HLOOKUP(Таблица5[[#Headers],[Комментарии]],'WV 4.0'!$A:$N,ROW('WV 4.0'!167:167),0),"")</f>
        <v>0</v>
      </c>
      <c r="I178" s="42">
        <f>IFERROR(HLOOKUP(Таблица5[[#Headers],[Срок поставки]],'WV 4.0'!$A:$N,ROW('WV 4.0'!167:167),0),"")</f>
        <v>0</v>
      </c>
      <c r="J178" s="27" t="str">
        <f>IFERROR(HLOOKUP(Таблица5[[#Headers],[Цена КазНИИСА]],'WV 4.0'!$A:$N,ROW('WV 4.0'!167:167),0),"")</f>
        <v/>
      </c>
      <c r="K178" s="27" t="str">
        <f>IFERROR(HLOOKUP(Таблица5[[#Headers],[Сумма КазНИИСА]],'WV 4.0'!$A:$N,ROW('WV 4.0'!167:167),0),"")</f>
        <v/>
      </c>
      <c r="L178" s="27">
        <f>IFERROR(HLOOKUP(Таблица5[[#Headers],[Код КазНИИСА]],'WV 4.0'!$A:$N,ROW('WV 4.0'!167:167),0),"")</f>
        <v>0</v>
      </c>
      <c r="M178" s="27" t="str">
        <f>IFERROR(HLOOKUP(Таблица5[[#Headers],[РРЦ в тнг]],'WV 4.0'!$A:$N,ROW('WV 4.0'!167:167),0),"")</f>
        <v/>
      </c>
      <c r="N178" s="27" t="str">
        <f>IFERROR(HLOOKUP(Таблица5[[#Headers],[Сумма РРЦ]],'WV 4.0'!$A:$N,ROW('WV 4.0'!167:167),0),"")</f>
        <v/>
      </c>
    </row>
    <row r="179" spans="1:14" x14ac:dyDescent="0.25">
      <c r="A179" s="29">
        <f>IFERROR('WV 4.0'!A168, " ")</f>
        <v>0</v>
      </c>
      <c r="B179" s="29">
        <f>IFERROR('WV 4.0'!B168, " ")</f>
        <v>0</v>
      </c>
      <c r="C179" s="29">
        <f>IFERROR('WV 4.0'!C168, " ")</f>
        <v>0</v>
      </c>
      <c r="D179" s="29">
        <f>IFERROR('WV 4.0'!D168, " ")</f>
        <v>0</v>
      </c>
      <c r="E179" s="29">
        <f>IFERROR('WV 4.0'!E168, " ")</f>
        <v>0</v>
      </c>
      <c r="F179" s="27">
        <f>IFERROR(ROUND(HLOOKUP(Таблица5[[#Headers],[Цена КП]],'WV 4.0'!$A:$N,ROW('WV 4.0'!168:168),0),0),"")</f>
        <v>0</v>
      </c>
      <c r="G179" s="27">
        <f>IFERROR(Таблица5[[#This Row],[Цена КП]]*Таблица5[[#This Row],[Кол-во]],"")</f>
        <v>0</v>
      </c>
      <c r="H179" s="42">
        <f>IFERROR(HLOOKUP(Таблица5[[#Headers],[Комментарии]],'WV 4.0'!$A:$N,ROW('WV 4.0'!168:168),0),"")</f>
        <v>0</v>
      </c>
      <c r="I179" s="42">
        <f>IFERROR(HLOOKUP(Таблица5[[#Headers],[Срок поставки]],'WV 4.0'!$A:$N,ROW('WV 4.0'!168:168),0),"")</f>
        <v>0</v>
      </c>
      <c r="J179" s="27" t="str">
        <f>IFERROR(HLOOKUP(Таблица5[[#Headers],[Цена КазНИИСА]],'WV 4.0'!$A:$N,ROW('WV 4.0'!168:168),0),"")</f>
        <v/>
      </c>
      <c r="K179" s="27" t="str">
        <f>IFERROR(HLOOKUP(Таблица5[[#Headers],[Сумма КазНИИСА]],'WV 4.0'!$A:$N,ROW('WV 4.0'!168:168),0),"")</f>
        <v/>
      </c>
      <c r="L179" s="27">
        <f>IFERROR(HLOOKUP(Таблица5[[#Headers],[Код КазНИИСА]],'WV 4.0'!$A:$N,ROW('WV 4.0'!168:168),0),"")</f>
        <v>0</v>
      </c>
      <c r="M179" s="27" t="str">
        <f>IFERROR(HLOOKUP(Таблица5[[#Headers],[РРЦ в тнг]],'WV 4.0'!$A:$N,ROW('WV 4.0'!168:168),0),"")</f>
        <v/>
      </c>
      <c r="N179" s="27" t="str">
        <f>IFERROR(HLOOKUP(Таблица5[[#Headers],[Сумма РРЦ]],'WV 4.0'!$A:$N,ROW('WV 4.0'!168:168),0),"")</f>
        <v/>
      </c>
    </row>
    <row r="180" spans="1:14" x14ac:dyDescent="0.25">
      <c r="A180" s="29">
        <f>IFERROR('WV 4.0'!A169, " ")</f>
        <v>0</v>
      </c>
      <c r="B180" s="29">
        <f>IFERROR('WV 4.0'!B169, " ")</f>
        <v>0</v>
      </c>
      <c r="C180" s="29">
        <f>IFERROR('WV 4.0'!C169, " ")</f>
        <v>0</v>
      </c>
      <c r="D180" s="29">
        <f>IFERROR('WV 4.0'!D169, " ")</f>
        <v>0</v>
      </c>
      <c r="E180" s="29">
        <f>IFERROR('WV 4.0'!E169, " ")</f>
        <v>0</v>
      </c>
      <c r="F180" s="27">
        <f>IFERROR(ROUND(HLOOKUP(Таблица5[[#Headers],[Цена КП]],'WV 4.0'!$A:$N,ROW('WV 4.0'!169:169),0),0),"")</f>
        <v>0</v>
      </c>
      <c r="G180" s="27">
        <f>IFERROR(Таблица5[[#This Row],[Цена КП]]*Таблица5[[#This Row],[Кол-во]],"")</f>
        <v>0</v>
      </c>
      <c r="H180" s="42">
        <f>IFERROR(HLOOKUP(Таблица5[[#Headers],[Комментарии]],'WV 4.0'!$A:$N,ROW('WV 4.0'!169:169),0),"")</f>
        <v>0</v>
      </c>
      <c r="I180" s="42">
        <f>IFERROR(HLOOKUP(Таблица5[[#Headers],[Срок поставки]],'WV 4.0'!$A:$N,ROW('WV 4.0'!169:169),0),"")</f>
        <v>0</v>
      </c>
      <c r="J180" s="27" t="str">
        <f>IFERROR(HLOOKUP(Таблица5[[#Headers],[Цена КазНИИСА]],'WV 4.0'!$A:$N,ROW('WV 4.0'!169:169),0),"")</f>
        <v/>
      </c>
      <c r="K180" s="27" t="str">
        <f>IFERROR(HLOOKUP(Таблица5[[#Headers],[Сумма КазНИИСА]],'WV 4.0'!$A:$N,ROW('WV 4.0'!169:169),0),"")</f>
        <v/>
      </c>
      <c r="L180" s="27">
        <f>IFERROR(HLOOKUP(Таблица5[[#Headers],[Код КазНИИСА]],'WV 4.0'!$A:$N,ROW('WV 4.0'!169:169),0),"")</f>
        <v>0</v>
      </c>
      <c r="M180" s="27" t="str">
        <f>IFERROR(HLOOKUP(Таблица5[[#Headers],[РРЦ в тнг]],'WV 4.0'!$A:$N,ROW('WV 4.0'!169:169),0),"")</f>
        <v/>
      </c>
      <c r="N180" s="27" t="str">
        <f>IFERROR(HLOOKUP(Таблица5[[#Headers],[Сумма РРЦ]],'WV 4.0'!$A:$N,ROW('WV 4.0'!169:169),0),"")</f>
        <v/>
      </c>
    </row>
    <row r="181" spans="1:14" x14ac:dyDescent="0.25">
      <c r="A181" s="29">
        <f>IFERROR('WV 4.0'!A170, " ")</f>
        <v>0</v>
      </c>
      <c r="B181" s="29">
        <f>IFERROR('WV 4.0'!B170, " ")</f>
        <v>0</v>
      </c>
      <c r="C181" s="29">
        <f>IFERROR('WV 4.0'!C170, " ")</f>
        <v>0</v>
      </c>
      <c r="D181" s="29">
        <f>IFERROR('WV 4.0'!D170, " ")</f>
        <v>0</v>
      </c>
      <c r="E181" s="29">
        <f>IFERROR('WV 4.0'!E170, " ")</f>
        <v>0</v>
      </c>
      <c r="F181" s="27">
        <f>IFERROR(ROUND(HLOOKUP(Таблица5[[#Headers],[Цена КП]],'WV 4.0'!$A:$N,ROW('WV 4.0'!170:170),0),0),"")</f>
        <v>0</v>
      </c>
      <c r="G181" s="27">
        <f>IFERROR(Таблица5[[#This Row],[Цена КП]]*Таблица5[[#This Row],[Кол-во]],"")</f>
        <v>0</v>
      </c>
      <c r="H181" s="42">
        <f>IFERROR(HLOOKUP(Таблица5[[#Headers],[Комментарии]],'WV 4.0'!$A:$N,ROW('WV 4.0'!170:170),0),"")</f>
        <v>0</v>
      </c>
      <c r="I181" s="42">
        <f>IFERROR(HLOOKUP(Таблица5[[#Headers],[Срок поставки]],'WV 4.0'!$A:$N,ROW('WV 4.0'!170:170),0),"")</f>
        <v>0</v>
      </c>
      <c r="J181" s="27" t="str">
        <f>IFERROR(HLOOKUP(Таблица5[[#Headers],[Цена КазНИИСА]],'WV 4.0'!$A:$N,ROW('WV 4.0'!170:170),0),"")</f>
        <v/>
      </c>
      <c r="K181" s="27" t="str">
        <f>IFERROR(HLOOKUP(Таблица5[[#Headers],[Сумма КазНИИСА]],'WV 4.0'!$A:$N,ROW('WV 4.0'!170:170),0),"")</f>
        <v/>
      </c>
      <c r="L181" s="27">
        <f>IFERROR(HLOOKUP(Таблица5[[#Headers],[Код КазНИИСА]],'WV 4.0'!$A:$N,ROW('WV 4.0'!170:170),0),"")</f>
        <v>0</v>
      </c>
      <c r="M181" s="27" t="str">
        <f>IFERROR(HLOOKUP(Таблица5[[#Headers],[РРЦ в тнг]],'WV 4.0'!$A:$N,ROW('WV 4.0'!170:170),0),"")</f>
        <v/>
      </c>
      <c r="N181" s="27" t="str">
        <f>IFERROR(HLOOKUP(Таблица5[[#Headers],[Сумма РРЦ]],'WV 4.0'!$A:$N,ROW('WV 4.0'!170:170),0),"")</f>
        <v/>
      </c>
    </row>
    <row r="182" spans="1:14" x14ac:dyDescent="0.25">
      <c r="A182" s="29">
        <f>IFERROR('WV 4.0'!A171, " ")</f>
        <v>0</v>
      </c>
      <c r="B182" s="29">
        <f>IFERROR('WV 4.0'!B171, " ")</f>
        <v>0</v>
      </c>
      <c r="C182" s="29">
        <f>IFERROR('WV 4.0'!C171, " ")</f>
        <v>0</v>
      </c>
      <c r="D182" s="29">
        <f>IFERROR('WV 4.0'!D171, " ")</f>
        <v>0</v>
      </c>
      <c r="E182" s="29">
        <f>IFERROR('WV 4.0'!E171, " ")</f>
        <v>0</v>
      </c>
      <c r="F182" s="27">
        <f>IFERROR(ROUND(HLOOKUP(Таблица5[[#Headers],[Цена КП]],'WV 4.0'!$A:$N,ROW('WV 4.0'!171:171),0),0),"")</f>
        <v>0</v>
      </c>
      <c r="G182" s="27">
        <f>IFERROR(Таблица5[[#This Row],[Цена КП]]*Таблица5[[#This Row],[Кол-во]],"")</f>
        <v>0</v>
      </c>
      <c r="H182" s="42">
        <f>IFERROR(HLOOKUP(Таблица5[[#Headers],[Комментарии]],'WV 4.0'!$A:$N,ROW('WV 4.0'!171:171),0),"")</f>
        <v>0</v>
      </c>
      <c r="I182" s="42">
        <f>IFERROR(HLOOKUP(Таблица5[[#Headers],[Срок поставки]],'WV 4.0'!$A:$N,ROW('WV 4.0'!171:171),0),"")</f>
        <v>0</v>
      </c>
      <c r="J182" s="27" t="str">
        <f>IFERROR(HLOOKUP(Таблица5[[#Headers],[Цена КазНИИСА]],'WV 4.0'!$A:$N,ROW('WV 4.0'!171:171),0),"")</f>
        <v/>
      </c>
      <c r="K182" s="27" t="str">
        <f>IFERROR(HLOOKUP(Таблица5[[#Headers],[Сумма КазНИИСА]],'WV 4.0'!$A:$N,ROW('WV 4.0'!171:171),0),"")</f>
        <v/>
      </c>
      <c r="L182" s="27">
        <f>IFERROR(HLOOKUP(Таблица5[[#Headers],[Код КазНИИСА]],'WV 4.0'!$A:$N,ROW('WV 4.0'!171:171),0),"")</f>
        <v>0</v>
      </c>
      <c r="M182" s="27" t="str">
        <f>IFERROR(HLOOKUP(Таблица5[[#Headers],[РРЦ в тнг]],'WV 4.0'!$A:$N,ROW('WV 4.0'!171:171),0),"")</f>
        <v/>
      </c>
      <c r="N182" s="27" t="str">
        <f>IFERROR(HLOOKUP(Таблица5[[#Headers],[Сумма РРЦ]],'WV 4.0'!$A:$N,ROW('WV 4.0'!171:171),0),"")</f>
        <v/>
      </c>
    </row>
    <row r="183" spans="1:14" x14ac:dyDescent="0.25">
      <c r="A183" s="29">
        <f>IFERROR('WV 4.0'!A172, " ")</f>
        <v>0</v>
      </c>
      <c r="B183" s="29">
        <f>IFERROR('WV 4.0'!B172, " ")</f>
        <v>0</v>
      </c>
      <c r="C183" s="29">
        <f>IFERROR('WV 4.0'!C172, " ")</f>
        <v>0</v>
      </c>
      <c r="D183" s="29">
        <f>IFERROR('WV 4.0'!D172, " ")</f>
        <v>0</v>
      </c>
      <c r="E183" s="29">
        <f>IFERROR('WV 4.0'!E172, " ")</f>
        <v>0</v>
      </c>
      <c r="F183" s="27">
        <f>IFERROR(ROUND(HLOOKUP(Таблица5[[#Headers],[Цена КП]],'WV 4.0'!$A:$N,ROW('WV 4.0'!172:172),0),0),"")</f>
        <v>0</v>
      </c>
      <c r="G183" s="27">
        <f>IFERROR(Таблица5[[#This Row],[Цена КП]]*Таблица5[[#This Row],[Кол-во]],"")</f>
        <v>0</v>
      </c>
      <c r="H183" s="42">
        <f>IFERROR(HLOOKUP(Таблица5[[#Headers],[Комментарии]],'WV 4.0'!$A:$N,ROW('WV 4.0'!172:172),0),"")</f>
        <v>0</v>
      </c>
      <c r="I183" s="42">
        <f>IFERROR(HLOOKUP(Таблица5[[#Headers],[Срок поставки]],'WV 4.0'!$A:$N,ROW('WV 4.0'!172:172),0),"")</f>
        <v>0</v>
      </c>
      <c r="J183" s="27" t="str">
        <f>IFERROR(HLOOKUP(Таблица5[[#Headers],[Цена КазНИИСА]],'WV 4.0'!$A:$N,ROW('WV 4.0'!172:172),0),"")</f>
        <v/>
      </c>
      <c r="K183" s="27" t="str">
        <f>IFERROR(HLOOKUP(Таблица5[[#Headers],[Сумма КазНИИСА]],'WV 4.0'!$A:$N,ROW('WV 4.0'!172:172),0),"")</f>
        <v/>
      </c>
      <c r="L183" s="27">
        <f>IFERROR(HLOOKUP(Таблица5[[#Headers],[Код КазНИИСА]],'WV 4.0'!$A:$N,ROW('WV 4.0'!172:172),0),"")</f>
        <v>0</v>
      </c>
      <c r="M183" s="27" t="str">
        <f>IFERROR(HLOOKUP(Таблица5[[#Headers],[РРЦ в тнг]],'WV 4.0'!$A:$N,ROW('WV 4.0'!172:172),0),"")</f>
        <v/>
      </c>
      <c r="N183" s="27" t="str">
        <f>IFERROR(HLOOKUP(Таблица5[[#Headers],[Сумма РРЦ]],'WV 4.0'!$A:$N,ROW('WV 4.0'!172:172),0),"")</f>
        <v/>
      </c>
    </row>
    <row r="184" spans="1:14" x14ac:dyDescent="0.25">
      <c r="A184" s="29">
        <f>IFERROR('WV 4.0'!A173, " ")</f>
        <v>0</v>
      </c>
      <c r="B184" s="29">
        <f>IFERROR('WV 4.0'!B173, " ")</f>
        <v>0</v>
      </c>
      <c r="C184" s="29">
        <f>IFERROR('WV 4.0'!C173, " ")</f>
        <v>0</v>
      </c>
      <c r="D184" s="29">
        <f>IFERROR('WV 4.0'!D173, " ")</f>
        <v>0</v>
      </c>
      <c r="E184" s="29">
        <f>IFERROR('WV 4.0'!E173, " ")</f>
        <v>0</v>
      </c>
      <c r="F184" s="27">
        <f>IFERROR(ROUND(HLOOKUP(Таблица5[[#Headers],[Цена КП]],'WV 4.0'!$A:$N,ROW('WV 4.0'!173:173),0),0),"")</f>
        <v>0</v>
      </c>
      <c r="G184" s="27">
        <f>IFERROR(Таблица5[[#This Row],[Цена КП]]*Таблица5[[#This Row],[Кол-во]],"")</f>
        <v>0</v>
      </c>
      <c r="H184" s="42">
        <f>IFERROR(HLOOKUP(Таблица5[[#Headers],[Комментарии]],'WV 4.0'!$A:$N,ROW('WV 4.0'!173:173),0),"")</f>
        <v>0</v>
      </c>
      <c r="I184" s="42">
        <f>IFERROR(HLOOKUP(Таблица5[[#Headers],[Срок поставки]],'WV 4.0'!$A:$N,ROW('WV 4.0'!173:173),0),"")</f>
        <v>0</v>
      </c>
      <c r="J184" s="27" t="str">
        <f>IFERROR(HLOOKUP(Таблица5[[#Headers],[Цена КазНИИСА]],'WV 4.0'!$A:$N,ROW('WV 4.0'!173:173),0),"")</f>
        <v/>
      </c>
      <c r="K184" s="27" t="str">
        <f>IFERROR(HLOOKUP(Таблица5[[#Headers],[Сумма КазНИИСА]],'WV 4.0'!$A:$N,ROW('WV 4.0'!173:173),0),"")</f>
        <v/>
      </c>
      <c r="L184" s="27">
        <f>IFERROR(HLOOKUP(Таблица5[[#Headers],[Код КазНИИСА]],'WV 4.0'!$A:$N,ROW('WV 4.0'!173:173),0),"")</f>
        <v>0</v>
      </c>
      <c r="M184" s="27" t="str">
        <f>IFERROR(HLOOKUP(Таблица5[[#Headers],[РРЦ в тнг]],'WV 4.0'!$A:$N,ROW('WV 4.0'!173:173),0),"")</f>
        <v/>
      </c>
      <c r="N184" s="27" t="str">
        <f>IFERROR(HLOOKUP(Таблица5[[#Headers],[Сумма РРЦ]],'WV 4.0'!$A:$N,ROW('WV 4.0'!173:173),0),"")</f>
        <v/>
      </c>
    </row>
    <row r="185" spans="1:14" x14ac:dyDescent="0.25">
      <c r="A185" s="29">
        <f>IFERROR('WV 4.0'!A174, " ")</f>
        <v>0</v>
      </c>
      <c r="B185" s="29">
        <f>IFERROR('WV 4.0'!B174, " ")</f>
        <v>0</v>
      </c>
      <c r="C185" s="29">
        <f>IFERROR('WV 4.0'!C174, " ")</f>
        <v>0</v>
      </c>
      <c r="D185" s="29">
        <f>IFERROR('WV 4.0'!D174, " ")</f>
        <v>0</v>
      </c>
      <c r="E185" s="29">
        <f>IFERROR('WV 4.0'!E174, " ")</f>
        <v>0</v>
      </c>
      <c r="F185" s="27">
        <f>IFERROR(ROUND(HLOOKUP(Таблица5[[#Headers],[Цена КП]],'WV 4.0'!$A:$N,ROW('WV 4.0'!174:174),0),0),"")</f>
        <v>0</v>
      </c>
      <c r="G185" s="27">
        <f>IFERROR(Таблица5[[#This Row],[Цена КП]]*Таблица5[[#This Row],[Кол-во]],"")</f>
        <v>0</v>
      </c>
      <c r="H185" s="42">
        <f>IFERROR(HLOOKUP(Таблица5[[#Headers],[Комментарии]],'WV 4.0'!$A:$N,ROW('WV 4.0'!174:174),0),"")</f>
        <v>0</v>
      </c>
      <c r="I185" s="42">
        <f>IFERROR(HLOOKUP(Таблица5[[#Headers],[Срок поставки]],'WV 4.0'!$A:$N,ROW('WV 4.0'!174:174),0),"")</f>
        <v>0</v>
      </c>
      <c r="J185" s="27" t="str">
        <f>IFERROR(HLOOKUP(Таблица5[[#Headers],[Цена КазНИИСА]],'WV 4.0'!$A:$N,ROW('WV 4.0'!174:174),0),"")</f>
        <v/>
      </c>
      <c r="K185" s="27" t="str">
        <f>IFERROR(HLOOKUP(Таблица5[[#Headers],[Сумма КазНИИСА]],'WV 4.0'!$A:$N,ROW('WV 4.0'!174:174),0),"")</f>
        <v/>
      </c>
      <c r="L185" s="27">
        <f>IFERROR(HLOOKUP(Таблица5[[#Headers],[Код КазНИИСА]],'WV 4.0'!$A:$N,ROW('WV 4.0'!174:174),0),"")</f>
        <v>0</v>
      </c>
      <c r="M185" s="27" t="str">
        <f>IFERROR(HLOOKUP(Таблица5[[#Headers],[РРЦ в тнг]],'WV 4.0'!$A:$N,ROW('WV 4.0'!174:174),0),"")</f>
        <v/>
      </c>
      <c r="N185" s="27" t="str">
        <f>IFERROR(HLOOKUP(Таблица5[[#Headers],[Сумма РРЦ]],'WV 4.0'!$A:$N,ROW('WV 4.0'!174:174),0),"")</f>
        <v/>
      </c>
    </row>
    <row r="186" spans="1:14" x14ac:dyDescent="0.25">
      <c r="A186" s="29">
        <f>IFERROR('WV 4.0'!A175, " ")</f>
        <v>0</v>
      </c>
      <c r="B186" s="29">
        <f>IFERROR('WV 4.0'!B175, " ")</f>
        <v>0</v>
      </c>
      <c r="C186" s="29">
        <f>IFERROR('WV 4.0'!C175, " ")</f>
        <v>0</v>
      </c>
      <c r="D186" s="29">
        <f>IFERROR('WV 4.0'!D175, " ")</f>
        <v>0</v>
      </c>
      <c r="E186" s="29">
        <f>IFERROR('WV 4.0'!E175, " ")</f>
        <v>0</v>
      </c>
      <c r="F186" s="27">
        <f>IFERROR(ROUND(HLOOKUP(Таблица5[[#Headers],[Цена КП]],'WV 4.0'!$A:$N,ROW('WV 4.0'!175:175),0),0),"")</f>
        <v>0</v>
      </c>
      <c r="G186" s="27">
        <f>IFERROR(Таблица5[[#This Row],[Цена КП]]*Таблица5[[#This Row],[Кол-во]],"")</f>
        <v>0</v>
      </c>
      <c r="H186" s="42">
        <f>IFERROR(HLOOKUP(Таблица5[[#Headers],[Комментарии]],'WV 4.0'!$A:$N,ROW('WV 4.0'!175:175),0),"")</f>
        <v>0</v>
      </c>
      <c r="I186" s="42">
        <f>IFERROR(HLOOKUP(Таблица5[[#Headers],[Срок поставки]],'WV 4.0'!$A:$N,ROW('WV 4.0'!175:175),0),"")</f>
        <v>0</v>
      </c>
      <c r="J186" s="27" t="str">
        <f>IFERROR(HLOOKUP(Таблица5[[#Headers],[Цена КазНИИСА]],'WV 4.0'!$A:$N,ROW('WV 4.0'!175:175),0),"")</f>
        <v/>
      </c>
      <c r="K186" s="27" t="str">
        <f>IFERROR(HLOOKUP(Таблица5[[#Headers],[Сумма КазНИИСА]],'WV 4.0'!$A:$N,ROW('WV 4.0'!175:175),0),"")</f>
        <v/>
      </c>
      <c r="L186" s="27">
        <f>IFERROR(HLOOKUP(Таблица5[[#Headers],[Код КазНИИСА]],'WV 4.0'!$A:$N,ROW('WV 4.0'!175:175),0),"")</f>
        <v>0</v>
      </c>
      <c r="M186" s="27" t="str">
        <f>IFERROR(HLOOKUP(Таблица5[[#Headers],[РРЦ в тнг]],'WV 4.0'!$A:$N,ROW('WV 4.0'!175:175),0),"")</f>
        <v/>
      </c>
      <c r="N186" s="27" t="str">
        <f>IFERROR(HLOOKUP(Таблица5[[#Headers],[Сумма РРЦ]],'WV 4.0'!$A:$N,ROW('WV 4.0'!175:175),0),"")</f>
        <v/>
      </c>
    </row>
    <row r="187" spans="1:14" x14ac:dyDescent="0.25">
      <c r="A187" s="29">
        <f>IFERROR('WV 4.0'!A176, " ")</f>
        <v>0</v>
      </c>
      <c r="B187" s="29">
        <f>IFERROR('WV 4.0'!B176, " ")</f>
        <v>0</v>
      </c>
      <c r="C187" s="29">
        <f>IFERROR('WV 4.0'!C176, " ")</f>
        <v>0</v>
      </c>
      <c r="D187" s="29">
        <f>IFERROR('WV 4.0'!D176, " ")</f>
        <v>0</v>
      </c>
      <c r="E187" s="29">
        <f>IFERROR('WV 4.0'!E176, " ")</f>
        <v>0</v>
      </c>
      <c r="F187" s="27">
        <f>IFERROR(ROUND(HLOOKUP(Таблица5[[#Headers],[Цена КП]],'WV 4.0'!$A:$N,ROW('WV 4.0'!176:176),0),0),"")</f>
        <v>0</v>
      </c>
      <c r="G187" s="27">
        <f>IFERROR(Таблица5[[#This Row],[Цена КП]]*Таблица5[[#This Row],[Кол-во]],"")</f>
        <v>0</v>
      </c>
      <c r="H187" s="42">
        <f>IFERROR(HLOOKUP(Таблица5[[#Headers],[Комментарии]],'WV 4.0'!$A:$N,ROW('WV 4.0'!176:176),0),"")</f>
        <v>0</v>
      </c>
      <c r="I187" s="42">
        <f>IFERROR(HLOOKUP(Таблица5[[#Headers],[Срок поставки]],'WV 4.0'!$A:$N,ROW('WV 4.0'!176:176),0),"")</f>
        <v>0</v>
      </c>
      <c r="J187" s="27" t="str">
        <f>IFERROR(HLOOKUP(Таблица5[[#Headers],[Цена КазНИИСА]],'WV 4.0'!$A:$N,ROW('WV 4.0'!176:176),0),"")</f>
        <v/>
      </c>
      <c r="K187" s="27" t="str">
        <f>IFERROR(HLOOKUP(Таблица5[[#Headers],[Сумма КазНИИСА]],'WV 4.0'!$A:$N,ROW('WV 4.0'!176:176),0),"")</f>
        <v/>
      </c>
      <c r="L187" s="27">
        <f>IFERROR(HLOOKUP(Таблица5[[#Headers],[Код КазНИИСА]],'WV 4.0'!$A:$N,ROW('WV 4.0'!176:176),0),"")</f>
        <v>0</v>
      </c>
      <c r="M187" s="27" t="str">
        <f>IFERROR(HLOOKUP(Таблица5[[#Headers],[РРЦ в тнг]],'WV 4.0'!$A:$N,ROW('WV 4.0'!176:176),0),"")</f>
        <v/>
      </c>
      <c r="N187" s="27" t="str">
        <f>IFERROR(HLOOKUP(Таблица5[[#Headers],[Сумма РРЦ]],'WV 4.0'!$A:$N,ROW('WV 4.0'!176:176),0),"")</f>
        <v/>
      </c>
    </row>
    <row r="188" spans="1:14" x14ac:dyDescent="0.25">
      <c r="A188" s="29">
        <f>IFERROR('WV 4.0'!A177, " ")</f>
        <v>0</v>
      </c>
      <c r="B188" s="29">
        <f>IFERROR('WV 4.0'!B177, " ")</f>
        <v>0</v>
      </c>
      <c r="C188" s="29">
        <f>IFERROR('WV 4.0'!C177, " ")</f>
        <v>0</v>
      </c>
      <c r="D188" s="29">
        <f>IFERROR('WV 4.0'!D177, " ")</f>
        <v>0</v>
      </c>
      <c r="E188" s="29">
        <f>IFERROR('WV 4.0'!E177, " ")</f>
        <v>0</v>
      </c>
      <c r="F188" s="27">
        <f>IFERROR(ROUND(HLOOKUP(Таблица5[[#Headers],[Цена КП]],'WV 4.0'!$A:$N,ROW('WV 4.0'!177:177),0),0),"")</f>
        <v>0</v>
      </c>
      <c r="G188" s="27">
        <f>IFERROR(Таблица5[[#This Row],[Цена КП]]*Таблица5[[#This Row],[Кол-во]],"")</f>
        <v>0</v>
      </c>
      <c r="H188" s="42">
        <f>IFERROR(HLOOKUP(Таблица5[[#Headers],[Комментарии]],'WV 4.0'!$A:$N,ROW('WV 4.0'!177:177),0),"")</f>
        <v>0</v>
      </c>
      <c r="I188" s="42">
        <f>IFERROR(HLOOKUP(Таблица5[[#Headers],[Срок поставки]],'WV 4.0'!$A:$N,ROW('WV 4.0'!177:177),0),"")</f>
        <v>0</v>
      </c>
      <c r="J188" s="27" t="str">
        <f>IFERROR(HLOOKUP(Таблица5[[#Headers],[Цена КазНИИСА]],'WV 4.0'!$A:$N,ROW('WV 4.0'!177:177),0),"")</f>
        <v/>
      </c>
      <c r="K188" s="27" t="str">
        <f>IFERROR(HLOOKUP(Таблица5[[#Headers],[Сумма КазНИИСА]],'WV 4.0'!$A:$N,ROW('WV 4.0'!177:177),0),"")</f>
        <v/>
      </c>
      <c r="L188" s="27">
        <f>IFERROR(HLOOKUP(Таблица5[[#Headers],[Код КазНИИСА]],'WV 4.0'!$A:$N,ROW('WV 4.0'!177:177),0),"")</f>
        <v>0</v>
      </c>
      <c r="M188" s="27" t="str">
        <f>IFERROR(HLOOKUP(Таблица5[[#Headers],[РРЦ в тнг]],'WV 4.0'!$A:$N,ROW('WV 4.0'!177:177),0),"")</f>
        <v/>
      </c>
      <c r="N188" s="27" t="str">
        <f>IFERROR(HLOOKUP(Таблица5[[#Headers],[Сумма РРЦ]],'WV 4.0'!$A:$N,ROW('WV 4.0'!177:177),0),"")</f>
        <v/>
      </c>
    </row>
    <row r="189" spans="1:14" x14ac:dyDescent="0.25">
      <c r="A189" s="29">
        <f>IFERROR('WV 4.0'!A178, " ")</f>
        <v>0</v>
      </c>
      <c r="B189" s="29">
        <f>IFERROR('WV 4.0'!B178, " ")</f>
        <v>0</v>
      </c>
      <c r="C189" s="29">
        <f>IFERROR('WV 4.0'!C178, " ")</f>
        <v>0</v>
      </c>
      <c r="D189" s="29">
        <f>IFERROR('WV 4.0'!D178, " ")</f>
        <v>0</v>
      </c>
      <c r="E189" s="29">
        <f>IFERROR('WV 4.0'!E178, " ")</f>
        <v>0</v>
      </c>
      <c r="F189" s="27">
        <f>IFERROR(ROUND(HLOOKUP(Таблица5[[#Headers],[Цена КП]],'WV 4.0'!$A:$N,ROW('WV 4.0'!178:178),0),0),"")</f>
        <v>0</v>
      </c>
      <c r="G189" s="27">
        <f>IFERROR(Таблица5[[#This Row],[Цена КП]]*Таблица5[[#This Row],[Кол-во]],"")</f>
        <v>0</v>
      </c>
      <c r="H189" s="42">
        <f>IFERROR(HLOOKUP(Таблица5[[#Headers],[Комментарии]],'WV 4.0'!$A:$N,ROW('WV 4.0'!178:178),0),"")</f>
        <v>0</v>
      </c>
      <c r="I189" s="42">
        <f>IFERROR(HLOOKUP(Таблица5[[#Headers],[Срок поставки]],'WV 4.0'!$A:$N,ROW('WV 4.0'!178:178),0),"")</f>
        <v>0</v>
      </c>
      <c r="J189" s="27" t="str">
        <f>IFERROR(HLOOKUP(Таблица5[[#Headers],[Цена КазНИИСА]],'WV 4.0'!$A:$N,ROW('WV 4.0'!178:178),0),"")</f>
        <v/>
      </c>
      <c r="K189" s="27" t="str">
        <f>IFERROR(HLOOKUP(Таблица5[[#Headers],[Сумма КазНИИСА]],'WV 4.0'!$A:$N,ROW('WV 4.0'!178:178),0),"")</f>
        <v/>
      </c>
      <c r="L189" s="27">
        <f>IFERROR(HLOOKUP(Таблица5[[#Headers],[Код КазНИИСА]],'WV 4.0'!$A:$N,ROW('WV 4.0'!178:178),0),"")</f>
        <v>0</v>
      </c>
      <c r="M189" s="27" t="str">
        <f>IFERROR(HLOOKUP(Таблица5[[#Headers],[РРЦ в тнг]],'WV 4.0'!$A:$N,ROW('WV 4.0'!178:178),0),"")</f>
        <v/>
      </c>
      <c r="N189" s="27" t="str">
        <f>IFERROR(HLOOKUP(Таблица5[[#Headers],[Сумма РРЦ]],'WV 4.0'!$A:$N,ROW('WV 4.0'!178:178),0),"")</f>
        <v/>
      </c>
    </row>
    <row r="190" spans="1:14" x14ac:dyDescent="0.25">
      <c r="A190" s="29">
        <f>IFERROR('WV 4.0'!A179, " ")</f>
        <v>0</v>
      </c>
      <c r="B190" s="29">
        <f>IFERROR('WV 4.0'!B179, " ")</f>
        <v>0</v>
      </c>
      <c r="C190" s="29">
        <f>IFERROR('WV 4.0'!C179, " ")</f>
        <v>0</v>
      </c>
      <c r="D190" s="29">
        <f>IFERROR('WV 4.0'!D179, " ")</f>
        <v>0</v>
      </c>
      <c r="E190" s="29">
        <f>IFERROR('WV 4.0'!E179, " ")</f>
        <v>0</v>
      </c>
      <c r="F190" s="27">
        <f>IFERROR(ROUND(HLOOKUP(Таблица5[[#Headers],[Цена КП]],'WV 4.0'!$A:$N,ROW('WV 4.0'!179:179),0),0),"")</f>
        <v>0</v>
      </c>
      <c r="G190" s="27">
        <f>IFERROR(Таблица5[[#This Row],[Цена КП]]*Таблица5[[#This Row],[Кол-во]],"")</f>
        <v>0</v>
      </c>
      <c r="H190" s="42">
        <f>IFERROR(HLOOKUP(Таблица5[[#Headers],[Комментарии]],'WV 4.0'!$A:$N,ROW('WV 4.0'!179:179),0),"")</f>
        <v>0</v>
      </c>
      <c r="I190" s="42">
        <f>IFERROR(HLOOKUP(Таблица5[[#Headers],[Срок поставки]],'WV 4.0'!$A:$N,ROW('WV 4.0'!179:179),0),"")</f>
        <v>0</v>
      </c>
      <c r="J190" s="27" t="str">
        <f>IFERROR(HLOOKUP(Таблица5[[#Headers],[Цена КазНИИСА]],'WV 4.0'!$A:$N,ROW('WV 4.0'!179:179),0),"")</f>
        <v/>
      </c>
      <c r="K190" s="27" t="str">
        <f>IFERROR(HLOOKUP(Таблица5[[#Headers],[Сумма КазНИИСА]],'WV 4.0'!$A:$N,ROW('WV 4.0'!179:179),0),"")</f>
        <v/>
      </c>
      <c r="L190" s="27">
        <f>IFERROR(HLOOKUP(Таблица5[[#Headers],[Код КазНИИСА]],'WV 4.0'!$A:$N,ROW('WV 4.0'!179:179),0),"")</f>
        <v>0</v>
      </c>
      <c r="M190" s="27" t="str">
        <f>IFERROR(HLOOKUP(Таблица5[[#Headers],[РРЦ в тнг]],'WV 4.0'!$A:$N,ROW('WV 4.0'!179:179),0),"")</f>
        <v/>
      </c>
      <c r="N190" s="27" t="str">
        <f>IFERROR(HLOOKUP(Таблица5[[#Headers],[Сумма РРЦ]],'WV 4.0'!$A:$N,ROW('WV 4.0'!179:179),0),"")</f>
        <v/>
      </c>
    </row>
    <row r="191" spans="1:14" x14ac:dyDescent="0.25">
      <c r="A191" s="29">
        <f>IFERROR('WV 4.0'!A180, " ")</f>
        <v>0</v>
      </c>
      <c r="B191" s="29">
        <f>IFERROR('WV 4.0'!B180, " ")</f>
        <v>0</v>
      </c>
      <c r="C191" s="29">
        <f>IFERROR('WV 4.0'!C180, " ")</f>
        <v>0</v>
      </c>
      <c r="D191" s="29">
        <f>IFERROR('WV 4.0'!D180, " ")</f>
        <v>0</v>
      </c>
      <c r="E191" s="29">
        <f>IFERROR('WV 4.0'!E180, " ")</f>
        <v>0</v>
      </c>
      <c r="F191" s="27">
        <f>IFERROR(ROUND(HLOOKUP(Таблица5[[#Headers],[Цена КП]],'WV 4.0'!$A:$N,ROW('WV 4.0'!180:180),0),0),"")</f>
        <v>0</v>
      </c>
      <c r="G191" s="27">
        <f>IFERROR(Таблица5[[#This Row],[Цена КП]]*Таблица5[[#This Row],[Кол-во]],"")</f>
        <v>0</v>
      </c>
      <c r="H191" s="42">
        <f>IFERROR(HLOOKUP(Таблица5[[#Headers],[Комментарии]],'WV 4.0'!$A:$N,ROW('WV 4.0'!180:180),0),"")</f>
        <v>0</v>
      </c>
      <c r="I191" s="42">
        <f>IFERROR(HLOOKUP(Таблица5[[#Headers],[Срок поставки]],'WV 4.0'!$A:$N,ROW('WV 4.0'!180:180),0),"")</f>
        <v>0</v>
      </c>
      <c r="J191" s="27" t="str">
        <f>IFERROR(HLOOKUP(Таблица5[[#Headers],[Цена КазНИИСА]],'WV 4.0'!$A:$N,ROW('WV 4.0'!180:180),0),"")</f>
        <v/>
      </c>
      <c r="K191" s="27" t="str">
        <f>IFERROR(HLOOKUP(Таблица5[[#Headers],[Сумма КазНИИСА]],'WV 4.0'!$A:$N,ROW('WV 4.0'!180:180),0),"")</f>
        <v/>
      </c>
      <c r="L191" s="27">
        <f>IFERROR(HLOOKUP(Таблица5[[#Headers],[Код КазНИИСА]],'WV 4.0'!$A:$N,ROW('WV 4.0'!180:180),0),"")</f>
        <v>0</v>
      </c>
      <c r="M191" s="27" t="str">
        <f>IFERROR(HLOOKUP(Таблица5[[#Headers],[РРЦ в тнг]],'WV 4.0'!$A:$N,ROW('WV 4.0'!180:180),0),"")</f>
        <v/>
      </c>
      <c r="N191" s="27" t="str">
        <f>IFERROR(HLOOKUP(Таблица5[[#Headers],[Сумма РРЦ]],'WV 4.0'!$A:$N,ROW('WV 4.0'!180:180),0),"")</f>
        <v/>
      </c>
    </row>
    <row r="192" spans="1:14" x14ac:dyDescent="0.25">
      <c r="A192" s="29">
        <f>IFERROR('WV 4.0'!A181, " ")</f>
        <v>0</v>
      </c>
      <c r="B192" s="29">
        <f>IFERROR('WV 4.0'!B181, " ")</f>
        <v>0</v>
      </c>
      <c r="C192" s="29">
        <f>IFERROR('WV 4.0'!C181, " ")</f>
        <v>0</v>
      </c>
      <c r="D192" s="29">
        <f>IFERROR('WV 4.0'!D181, " ")</f>
        <v>0</v>
      </c>
      <c r="E192" s="29">
        <f>IFERROR('WV 4.0'!E181, " ")</f>
        <v>0</v>
      </c>
      <c r="F192" s="27">
        <f>IFERROR(ROUND(HLOOKUP(Таблица5[[#Headers],[Цена КП]],'WV 4.0'!$A:$N,ROW('WV 4.0'!181:181),0),0),"")</f>
        <v>0</v>
      </c>
      <c r="G192" s="27">
        <f>IFERROR(Таблица5[[#This Row],[Цена КП]]*Таблица5[[#This Row],[Кол-во]],"")</f>
        <v>0</v>
      </c>
      <c r="H192" s="42">
        <f>IFERROR(HLOOKUP(Таблица5[[#Headers],[Комментарии]],'WV 4.0'!$A:$N,ROW('WV 4.0'!181:181),0),"")</f>
        <v>0</v>
      </c>
      <c r="I192" s="42">
        <f>IFERROR(HLOOKUP(Таблица5[[#Headers],[Срок поставки]],'WV 4.0'!$A:$N,ROW('WV 4.0'!181:181),0),"")</f>
        <v>0</v>
      </c>
      <c r="J192" s="27" t="str">
        <f>IFERROR(HLOOKUP(Таблица5[[#Headers],[Цена КазНИИСА]],'WV 4.0'!$A:$N,ROW('WV 4.0'!181:181),0),"")</f>
        <v/>
      </c>
      <c r="K192" s="27" t="str">
        <f>IFERROR(HLOOKUP(Таблица5[[#Headers],[Сумма КазНИИСА]],'WV 4.0'!$A:$N,ROW('WV 4.0'!181:181),0),"")</f>
        <v/>
      </c>
      <c r="L192" s="27">
        <f>IFERROR(HLOOKUP(Таблица5[[#Headers],[Код КазНИИСА]],'WV 4.0'!$A:$N,ROW('WV 4.0'!181:181),0),"")</f>
        <v>0</v>
      </c>
      <c r="M192" s="27" t="str">
        <f>IFERROR(HLOOKUP(Таблица5[[#Headers],[РРЦ в тнг]],'WV 4.0'!$A:$N,ROW('WV 4.0'!181:181),0),"")</f>
        <v/>
      </c>
      <c r="N192" s="27" t="str">
        <f>IFERROR(HLOOKUP(Таблица5[[#Headers],[Сумма РРЦ]],'WV 4.0'!$A:$N,ROW('WV 4.0'!181:181),0),"")</f>
        <v/>
      </c>
    </row>
    <row r="193" spans="1:14" x14ac:dyDescent="0.25">
      <c r="A193" s="29">
        <f>IFERROR('WV 4.0'!A182, " ")</f>
        <v>0</v>
      </c>
      <c r="B193" s="29">
        <f>IFERROR('WV 4.0'!B182, " ")</f>
        <v>0</v>
      </c>
      <c r="C193" s="29">
        <f>IFERROR('WV 4.0'!C182, " ")</f>
        <v>0</v>
      </c>
      <c r="D193" s="29">
        <f>IFERROR('WV 4.0'!D182, " ")</f>
        <v>0</v>
      </c>
      <c r="E193" s="29">
        <f>IFERROR('WV 4.0'!E182, " ")</f>
        <v>0</v>
      </c>
      <c r="F193" s="27">
        <f>IFERROR(ROUND(HLOOKUP(Таблица5[[#Headers],[Цена КП]],'WV 4.0'!$A:$N,ROW('WV 4.0'!182:182),0),0),"")</f>
        <v>0</v>
      </c>
      <c r="G193" s="27">
        <f>IFERROR(Таблица5[[#This Row],[Цена КП]]*Таблица5[[#This Row],[Кол-во]],"")</f>
        <v>0</v>
      </c>
      <c r="H193" s="42">
        <f>IFERROR(HLOOKUP(Таблица5[[#Headers],[Комментарии]],'WV 4.0'!$A:$N,ROW('WV 4.0'!182:182),0),"")</f>
        <v>0</v>
      </c>
      <c r="I193" s="42">
        <f>IFERROR(HLOOKUP(Таблица5[[#Headers],[Срок поставки]],'WV 4.0'!$A:$N,ROW('WV 4.0'!182:182),0),"")</f>
        <v>0</v>
      </c>
      <c r="J193" s="27" t="str">
        <f>IFERROR(HLOOKUP(Таблица5[[#Headers],[Цена КазНИИСА]],'WV 4.0'!$A:$N,ROW('WV 4.0'!182:182),0),"")</f>
        <v/>
      </c>
      <c r="K193" s="27" t="str">
        <f>IFERROR(HLOOKUP(Таблица5[[#Headers],[Сумма КазНИИСА]],'WV 4.0'!$A:$N,ROW('WV 4.0'!182:182),0),"")</f>
        <v/>
      </c>
      <c r="L193" s="27">
        <f>IFERROR(HLOOKUP(Таблица5[[#Headers],[Код КазНИИСА]],'WV 4.0'!$A:$N,ROW('WV 4.0'!182:182),0),"")</f>
        <v>0</v>
      </c>
      <c r="M193" s="27" t="str">
        <f>IFERROR(HLOOKUP(Таблица5[[#Headers],[РРЦ в тнг]],'WV 4.0'!$A:$N,ROW('WV 4.0'!182:182),0),"")</f>
        <v/>
      </c>
      <c r="N193" s="27" t="str">
        <f>IFERROR(HLOOKUP(Таблица5[[#Headers],[Сумма РРЦ]],'WV 4.0'!$A:$N,ROW('WV 4.0'!182:182),0),"")</f>
        <v/>
      </c>
    </row>
    <row r="194" spans="1:14" x14ac:dyDescent="0.25">
      <c r="A194" s="29">
        <f>IFERROR('WV 4.0'!A183, " ")</f>
        <v>0</v>
      </c>
      <c r="B194" s="29">
        <f>IFERROR('WV 4.0'!B183, " ")</f>
        <v>0</v>
      </c>
      <c r="C194" s="29">
        <f>IFERROR('WV 4.0'!C183, " ")</f>
        <v>0</v>
      </c>
      <c r="D194" s="29">
        <f>IFERROR('WV 4.0'!D183, " ")</f>
        <v>0</v>
      </c>
      <c r="E194" s="29">
        <f>IFERROR('WV 4.0'!E183, " ")</f>
        <v>0</v>
      </c>
      <c r="F194" s="27">
        <f>IFERROR(ROUND(HLOOKUP(Таблица5[[#Headers],[Цена КП]],'WV 4.0'!$A:$N,ROW('WV 4.0'!183:183),0),0),"")</f>
        <v>0</v>
      </c>
      <c r="G194" s="27">
        <f>IFERROR(Таблица5[[#This Row],[Цена КП]]*Таблица5[[#This Row],[Кол-во]],"")</f>
        <v>0</v>
      </c>
      <c r="H194" s="42">
        <f>IFERROR(HLOOKUP(Таблица5[[#Headers],[Комментарии]],'WV 4.0'!$A:$N,ROW('WV 4.0'!183:183),0),"")</f>
        <v>0</v>
      </c>
      <c r="I194" s="42">
        <f>IFERROR(HLOOKUP(Таблица5[[#Headers],[Срок поставки]],'WV 4.0'!$A:$N,ROW('WV 4.0'!183:183),0),"")</f>
        <v>0</v>
      </c>
      <c r="J194" s="27" t="str">
        <f>IFERROR(HLOOKUP(Таблица5[[#Headers],[Цена КазНИИСА]],'WV 4.0'!$A:$N,ROW('WV 4.0'!183:183),0),"")</f>
        <v/>
      </c>
      <c r="K194" s="27" t="str">
        <f>IFERROR(HLOOKUP(Таблица5[[#Headers],[Сумма КазНИИСА]],'WV 4.0'!$A:$N,ROW('WV 4.0'!183:183),0),"")</f>
        <v/>
      </c>
      <c r="L194" s="27">
        <f>IFERROR(HLOOKUP(Таблица5[[#Headers],[Код КазНИИСА]],'WV 4.0'!$A:$N,ROW('WV 4.0'!183:183),0),"")</f>
        <v>0</v>
      </c>
      <c r="M194" s="27" t="str">
        <f>IFERROR(HLOOKUP(Таблица5[[#Headers],[РРЦ в тнг]],'WV 4.0'!$A:$N,ROW('WV 4.0'!183:183),0),"")</f>
        <v/>
      </c>
      <c r="N194" s="27" t="str">
        <f>IFERROR(HLOOKUP(Таблица5[[#Headers],[Сумма РРЦ]],'WV 4.0'!$A:$N,ROW('WV 4.0'!183:183),0),"")</f>
        <v/>
      </c>
    </row>
    <row r="195" spans="1:14" x14ac:dyDescent="0.25">
      <c r="A195" s="29">
        <f>IFERROR('WV 4.0'!A184, " ")</f>
        <v>0</v>
      </c>
      <c r="B195" s="29">
        <f>IFERROR('WV 4.0'!B184, " ")</f>
        <v>0</v>
      </c>
      <c r="C195" s="29">
        <f>IFERROR('WV 4.0'!C184, " ")</f>
        <v>0</v>
      </c>
      <c r="D195" s="29">
        <f>IFERROR('WV 4.0'!D184, " ")</f>
        <v>0</v>
      </c>
      <c r="E195" s="29">
        <f>IFERROR('WV 4.0'!E184, " ")</f>
        <v>0</v>
      </c>
      <c r="F195" s="27">
        <f>IFERROR(ROUND(HLOOKUP(Таблица5[[#Headers],[Цена КП]],'WV 4.0'!$A:$N,ROW('WV 4.0'!184:184),0),0),"")</f>
        <v>0</v>
      </c>
      <c r="G195" s="27">
        <f>IFERROR(Таблица5[[#This Row],[Цена КП]]*Таблица5[[#This Row],[Кол-во]],"")</f>
        <v>0</v>
      </c>
      <c r="H195" s="42">
        <f>IFERROR(HLOOKUP(Таблица5[[#Headers],[Комментарии]],'WV 4.0'!$A:$N,ROW('WV 4.0'!184:184),0),"")</f>
        <v>0</v>
      </c>
      <c r="I195" s="42">
        <f>IFERROR(HLOOKUP(Таблица5[[#Headers],[Срок поставки]],'WV 4.0'!$A:$N,ROW('WV 4.0'!184:184),0),"")</f>
        <v>0</v>
      </c>
      <c r="J195" s="27" t="str">
        <f>IFERROR(HLOOKUP(Таблица5[[#Headers],[Цена КазНИИСА]],'WV 4.0'!$A:$N,ROW('WV 4.0'!184:184),0),"")</f>
        <v/>
      </c>
      <c r="K195" s="27" t="str">
        <f>IFERROR(HLOOKUP(Таблица5[[#Headers],[Сумма КазНИИСА]],'WV 4.0'!$A:$N,ROW('WV 4.0'!184:184),0),"")</f>
        <v/>
      </c>
      <c r="L195" s="27">
        <f>IFERROR(HLOOKUP(Таблица5[[#Headers],[Код КазНИИСА]],'WV 4.0'!$A:$N,ROW('WV 4.0'!184:184),0),"")</f>
        <v>0</v>
      </c>
      <c r="M195" s="27" t="str">
        <f>IFERROR(HLOOKUP(Таблица5[[#Headers],[РРЦ в тнг]],'WV 4.0'!$A:$N,ROW('WV 4.0'!184:184),0),"")</f>
        <v/>
      </c>
      <c r="N195" s="27" t="str">
        <f>IFERROR(HLOOKUP(Таблица5[[#Headers],[Сумма РРЦ]],'WV 4.0'!$A:$N,ROW('WV 4.0'!184:184),0),"")</f>
        <v/>
      </c>
    </row>
    <row r="196" spans="1:14" x14ac:dyDescent="0.25">
      <c r="A196" s="29">
        <f>IFERROR('WV 4.0'!A185, " ")</f>
        <v>0</v>
      </c>
      <c r="B196" s="29">
        <f>IFERROR('WV 4.0'!B185, " ")</f>
        <v>0</v>
      </c>
      <c r="C196" s="29">
        <f>IFERROR('WV 4.0'!C185, " ")</f>
        <v>0</v>
      </c>
      <c r="D196" s="29">
        <f>IFERROR('WV 4.0'!D185, " ")</f>
        <v>0</v>
      </c>
      <c r="E196" s="29">
        <f>IFERROR('WV 4.0'!E185, " ")</f>
        <v>0</v>
      </c>
      <c r="F196" s="27">
        <f>IFERROR(ROUND(HLOOKUP(Таблица5[[#Headers],[Цена КП]],'WV 4.0'!$A:$N,ROW('WV 4.0'!185:185),0),0),"")</f>
        <v>0</v>
      </c>
      <c r="G196" s="27">
        <f>IFERROR(Таблица5[[#This Row],[Цена КП]]*Таблица5[[#This Row],[Кол-во]],"")</f>
        <v>0</v>
      </c>
      <c r="H196" s="42">
        <f>IFERROR(HLOOKUP(Таблица5[[#Headers],[Комментарии]],'WV 4.0'!$A:$N,ROW('WV 4.0'!185:185),0),"")</f>
        <v>0</v>
      </c>
      <c r="I196" s="42">
        <f>IFERROR(HLOOKUP(Таблица5[[#Headers],[Срок поставки]],'WV 4.0'!$A:$N,ROW('WV 4.0'!185:185),0),"")</f>
        <v>0</v>
      </c>
      <c r="J196" s="27" t="str">
        <f>IFERROR(HLOOKUP(Таблица5[[#Headers],[Цена КазНИИСА]],'WV 4.0'!$A:$N,ROW('WV 4.0'!185:185),0),"")</f>
        <v/>
      </c>
      <c r="K196" s="27" t="str">
        <f>IFERROR(HLOOKUP(Таблица5[[#Headers],[Сумма КазНИИСА]],'WV 4.0'!$A:$N,ROW('WV 4.0'!185:185),0),"")</f>
        <v/>
      </c>
      <c r="L196" s="27">
        <f>IFERROR(HLOOKUP(Таблица5[[#Headers],[Код КазНИИСА]],'WV 4.0'!$A:$N,ROW('WV 4.0'!185:185),0),"")</f>
        <v>0</v>
      </c>
      <c r="M196" s="27" t="str">
        <f>IFERROR(HLOOKUP(Таблица5[[#Headers],[РРЦ в тнг]],'WV 4.0'!$A:$N,ROW('WV 4.0'!185:185),0),"")</f>
        <v/>
      </c>
      <c r="N196" s="27" t="str">
        <f>IFERROR(HLOOKUP(Таблица5[[#Headers],[Сумма РРЦ]],'WV 4.0'!$A:$N,ROW('WV 4.0'!185:185),0),"")</f>
        <v/>
      </c>
    </row>
    <row r="197" spans="1:14" x14ac:dyDescent="0.25">
      <c r="A197" s="29">
        <f>IFERROR('WV 4.0'!A186, " ")</f>
        <v>0</v>
      </c>
      <c r="B197" s="29">
        <f>IFERROR('WV 4.0'!B186, " ")</f>
        <v>0</v>
      </c>
      <c r="C197" s="29">
        <f>IFERROR('WV 4.0'!C186, " ")</f>
        <v>0</v>
      </c>
      <c r="D197" s="29">
        <f>IFERROR('WV 4.0'!D186, " ")</f>
        <v>0</v>
      </c>
      <c r="E197" s="29">
        <f>IFERROR('WV 4.0'!E186, " ")</f>
        <v>0</v>
      </c>
      <c r="F197" s="27">
        <f>IFERROR(ROUND(HLOOKUP(Таблица5[[#Headers],[Цена КП]],'WV 4.0'!$A:$N,ROW('WV 4.0'!186:186),0),0),"")</f>
        <v>0</v>
      </c>
      <c r="G197" s="27">
        <f>IFERROR(Таблица5[[#This Row],[Цена КП]]*Таблица5[[#This Row],[Кол-во]],"")</f>
        <v>0</v>
      </c>
      <c r="H197" s="42">
        <f>IFERROR(HLOOKUP(Таблица5[[#Headers],[Комментарии]],'WV 4.0'!$A:$N,ROW('WV 4.0'!186:186),0),"")</f>
        <v>0</v>
      </c>
      <c r="I197" s="42">
        <f>IFERROR(HLOOKUP(Таблица5[[#Headers],[Срок поставки]],'WV 4.0'!$A:$N,ROW('WV 4.0'!186:186),0),"")</f>
        <v>0</v>
      </c>
      <c r="J197" s="27" t="str">
        <f>IFERROR(HLOOKUP(Таблица5[[#Headers],[Цена КазНИИСА]],'WV 4.0'!$A:$N,ROW('WV 4.0'!186:186),0),"")</f>
        <v/>
      </c>
      <c r="K197" s="27" t="str">
        <f>IFERROR(HLOOKUP(Таблица5[[#Headers],[Сумма КазНИИСА]],'WV 4.0'!$A:$N,ROW('WV 4.0'!186:186),0),"")</f>
        <v/>
      </c>
      <c r="L197" s="27">
        <f>IFERROR(HLOOKUP(Таблица5[[#Headers],[Код КазНИИСА]],'WV 4.0'!$A:$N,ROW('WV 4.0'!186:186),0),"")</f>
        <v>0</v>
      </c>
      <c r="M197" s="27" t="str">
        <f>IFERROR(HLOOKUP(Таблица5[[#Headers],[РРЦ в тнг]],'WV 4.0'!$A:$N,ROW('WV 4.0'!186:186),0),"")</f>
        <v/>
      </c>
      <c r="N197" s="27" t="str">
        <f>IFERROR(HLOOKUP(Таблица5[[#Headers],[Сумма РРЦ]],'WV 4.0'!$A:$N,ROW('WV 4.0'!186:186),0),"")</f>
        <v/>
      </c>
    </row>
    <row r="198" spans="1:14" x14ac:dyDescent="0.25">
      <c r="A198" s="29">
        <f>IFERROR('WV 4.0'!A187, " ")</f>
        <v>0</v>
      </c>
      <c r="B198" s="29">
        <f>IFERROR('WV 4.0'!B187, " ")</f>
        <v>0</v>
      </c>
      <c r="C198" s="29">
        <f>IFERROR('WV 4.0'!C187, " ")</f>
        <v>0</v>
      </c>
      <c r="D198" s="29">
        <f>IFERROR('WV 4.0'!D187, " ")</f>
        <v>0</v>
      </c>
      <c r="E198" s="29">
        <f>IFERROR('WV 4.0'!E187, " ")</f>
        <v>0</v>
      </c>
      <c r="F198" s="27">
        <f>IFERROR(ROUND(HLOOKUP(Таблица5[[#Headers],[Цена КП]],'WV 4.0'!$A:$N,ROW('WV 4.0'!187:187),0),0),"")</f>
        <v>0</v>
      </c>
      <c r="G198" s="27">
        <f>IFERROR(Таблица5[[#This Row],[Цена КП]]*Таблица5[[#This Row],[Кол-во]],"")</f>
        <v>0</v>
      </c>
      <c r="H198" s="42">
        <f>IFERROR(HLOOKUP(Таблица5[[#Headers],[Комментарии]],'WV 4.0'!$A:$N,ROW('WV 4.0'!187:187),0),"")</f>
        <v>0</v>
      </c>
      <c r="I198" s="42">
        <f>IFERROR(HLOOKUP(Таблица5[[#Headers],[Срок поставки]],'WV 4.0'!$A:$N,ROW('WV 4.0'!187:187),0),"")</f>
        <v>0</v>
      </c>
      <c r="J198" s="27" t="str">
        <f>IFERROR(HLOOKUP(Таблица5[[#Headers],[Цена КазНИИСА]],'WV 4.0'!$A:$N,ROW('WV 4.0'!187:187),0),"")</f>
        <v/>
      </c>
      <c r="K198" s="27" t="str">
        <f>IFERROR(HLOOKUP(Таблица5[[#Headers],[Сумма КазНИИСА]],'WV 4.0'!$A:$N,ROW('WV 4.0'!187:187),0),"")</f>
        <v/>
      </c>
      <c r="L198" s="27">
        <f>IFERROR(HLOOKUP(Таблица5[[#Headers],[Код КазНИИСА]],'WV 4.0'!$A:$N,ROW('WV 4.0'!187:187),0),"")</f>
        <v>0</v>
      </c>
      <c r="M198" s="27" t="str">
        <f>IFERROR(HLOOKUP(Таблица5[[#Headers],[РРЦ в тнг]],'WV 4.0'!$A:$N,ROW('WV 4.0'!187:187),0),"")</f>
        <v/>
      </c>
      <c r="N198" s="27" t="str">
        <f>IFERROR(HLOOKUP(Таблица5[[#Headers],[Сумма РРЦ]],'WV 4.0'!$A:$N,ROW('WV 4.0'!187:187),0),"")</f>
        <v/>
      </c>
    </row>
    <row r="199" spans="1:14" x14ac:dyDescent="0.25">
      <c r="A199" s="29">
        <f>IFERROR('WV 4.0'!A188, " ")</f>
        <v>0</v>
      </c>
      <c r="B199" s="29">
        <f>IFERROR('WV 4.0'!B188, " ")</f>
        <v>0</v>
      </c>
      <c r="C199" s="29">
        <f>IFERROR('WV 4.0'!C188, " ")</f>
        <v>0</v>
      </c>
      <c r="D199" s="29">
        <f>IFERROR('WV 4.0'!D188, " ")</f>
        <v>0</v>
      </c>
      <c r="E199" s="29">
        <f>IFERROR('WV 4.0'!E188, " ")</f>
        <v>0</v>
      </c>
      <c r="F199" s="27">
        <f>IFERROR(ROUND(HLOOKUP(Таблица5[[#Headers],[Цена КП]],'WV 4.0'!$A:$N,ROW('WV 4.0'!188:188),0),0),"")</f>
        <v>0</v>
      </c>
      <c r="G199" s="27">
        <f>IFERROR(Таблица5[[#This Row],[Цена КП]]*Таблица5[[#This Row],[Кол-во]],"")</f>
        <v>0</v>
      </c>
      <c r="H199" s="42">
        <f>IFERROR(HLOOKUP(Таблица5[[#Headers],[Комментарии]],'WV 4.0'!$A:$N,ROW('WV 4.0'!188:188),0),"")</f>
        <v>0</v>
      </c>
      <c r="I199" s="42">
        <f>IFERROR(HLOOKUP(Таблица5[[#Headers],[Срок поставки]],'WV 4.0'!$A:$N,ROW('WV 4.0'!188:188),0),"")</f>
        <v>0</v>
      </c>
      <c r="J199" s="27" t="str">
        <f>IFERROR(HLOOKUP(Таблица5[[#Headers],[Цена КазНИИСА]],'WV 4.0'!$A:$N,ROW('WV 4.0'!188:188),0),"")</f>
        <v/>
      </c>
      <c r="K199" s="27" t="str">
        <f>IFERROR(HLOOKUP(Таблица5[[#Headers],[Сумма КазНИИСА]],'WV 4.0'!$A:$N,ROW('WV 4.0'!188:188),0),"")</f>
        <v/>
      </c>
      <c r="L199" s="27">
        <f>IFERROR(HLOOKUP(Таблица5[[#Headers],[Код КазНИИСА]],'WV 4.0'!$A:$N,ROW('WV 4.0'!188:188),0),"")</f>
        <v>0</v>
      </c>
      <c r="M199" s="27" t="str">
        <f>IFERROR(HLOOKUP(Таблица5[[#Headers],[РРЦ в тнг]],'WV 4.0'!$A:$N,ROW('WV 4.0'!188:188),0),"")</f>
        <v/>
      </c>
      <c r="N199" s="27" t="str">
        <f>IFERROR(HLOOKUP(Таблица5[[#Headers],[Сумма РРЦ]],'WV 4.0'!$A:$N,ROW('WV 4.0'!188:188),0),"")</f>
        <v/>
      </c>
    </row>
    <row r="200" spans="1:14" x14ac:dyDescent="0.25">
      <c r="A200" s="29">
        <f>IFERROR('WV 4.0'!A189, " ")</f>
        <v>0</v>
      </c>
      <c r="B200" s="29">
        <f>IFERROR('WV 4.0'!B189, " ")</f>
        <v>0</v>
      </c>
      <c r="C200" s="29">
        <f>IFERROR('WV 4.0'!C189, " ")</f>
        <v>0</v>
      </c>
      <c r="D200" s="29">
        <f>IFERROR('WV 4.0'!D189, " ")</f>
        <v>0</v>
      </c>
      <c r="E200" s="29">
        <f>IFERROR('WV 4.0'!E189, " ")</f>
        <v>0</v>
      </c>
      <c r="F200" s="27">
        <f>IFERROR(ROUND(HLOOKUP(Таблица5[[#Headers],[Цена КП]],'WV 4.0'!$A:$N,ROW('WV 4.0'!189:189),0),0),"")</f>
        <v>0</v>
      </c>
      <c r="G200" s="27">
        <f>IFERROR(Таблица5[[#This Row],[Цена КП]]*Таблица5[[#This Row],[Кол-во]],"")</f>
        <v>0</v>
      </c>
      <c r="H200" s="42">
        <f>IFERROR(HLOOKUP(Таблица5[[#Headers],[Комментарии]],'WV 4.0'!$A:$N,ROW('WV 4.0'!189:189),0),"")</f>
        <v>0</v>
      </c>
      <c r="I200" s="42">
        <f>IFERROR(HLOOKUP(Таблица5[[#Headers],[Срок поставки]],'WV 4.0'!$A:$N,ROW('WV 4.0'!189:189),0),"")</f>
        <v>0</v>
      </c>
      <c r="J200" s="27" t="str">
        <f>IFERROR(HLOOKUP(Таблица5[[#Headers],[Цена КазНИИСА]],'WV 4.0'!$A:$N,ROW('WV 4.0'!189:189),0),"")</f>
        <v/>
      </c>
      <c r="K200" s="27" t="str">
        <f>IFERROR(HLOOKUP(Таблица5[[#Headers],[Сумма КазНИИСА]],'WV 4.0'!$A:$N,ROW('WV 4.0'!189:189),0),"")</f>
        <v/>
      </c>
      <c r="L200" s="27">
        <f>IFERROR(HLOOKUP(Таблица5[[#Headers],[Код КазНИИСА]],'WV 4.0'!$A:$N,ROW('WV 4.0'!189:189),0),"")</f>
        <v>0</v>
      </c>
      <c r="M200" s="27" t="str">
        <f>IFERROR(HLOOKUP(Таблица5[[#Headers],[РРЦ в тнг]],'WV 4.0'!$A:$N,ROW('WV 4.0'!189:189),0),"")</f>
        <v/>
      </c>
      <c r="N200" s="27" t="str">
        <f>IFERROR(HLOOKUP(Таблица5[[#Headers],[Сумма РРЦ]],'WV 4.0'!$A:$N,ROW('WV 4.0'!189:189),0),"")</f>
        <v/>
      </c>
    </row>
    <row r="201" spans="1:14" x14ac:dyDescent="0.25">
      <c r="A201" s="29">
        <f>IFERROR('WV 4.0'!A190, " ")</f>
        <v>0</v>
      </c>
      <c r="B201" s="29">
        <f>IFERROR('WV 4.0'!B190, " ")</f>
        <v>0</v>
      </c>
      <c r="C201" s="29">
        <f>IFERROR('WV 4.0'!C190, " ")</f>
        <v>0</v>
      </c>
      <c r="D201" s="29">
        <f>IFERROR('WV 4.0'!D190, " ")</f>
        <v>0</v>
      </c>
      <c r="E201" s="29">
        <f>IFERROR('WV 4.0'!E190, " ")</f>
        <v>0</v>
      </c>
      <c r="F201" s="27">
        <f>IFERROR(ROUND(HLOOKUP(Таблица5[[#Headers],[Цена КП]],'WV 4.0'!$A:$N,ROW('WV 4.0'!190:190),0),0),"")</f>
        <v>0</v>
      </c>
      <c r="G201" s="27">
        <f>IFERROR(Таблица5[[#This Row],[Цена КП]]*Таблица5[[#This Row],[Кол-во]],"")</f>
        <v>0</v>
      </c>
      <c r="H201" s="42">
        <f>IFERROR(HLOOKUP(Таблица5[[#Headers],[Комментарии]],'WV 4.0'!$A:$N,ROW('WV 4.0'!190:190),0),"")</f>
        <v>0</v>
      </c>
      <c r="I201" s="42">
        <f>IFERROR(HLOOKUP(Таблица5[[#Headers],[Срок поставки]],'WV 4.0'!$A:$N,ROW('WV 4.0'!190:190),0),"")</f>
        <v>0</v>
      </c>
      <c r="J201" s="27" t="str">
        <f>IFERROR(HLOOKUP(Таблица5[[#Headers],[Цена КазНИИСА]],'WV 4.0'!$A:$N,ROW('WV 4.0'!190:190),0),"")</f>
        <v/>
      </c>
      <c r="K201" s="27" t="str">
        <f>IFERROR(HLOOKUP(Таблица5[[#Headers],[Сумма КазНИИСА]],'WV 4.0'!$A:$N,ROW('WV 4.0'!190:190),0),"")</f>
        <v/>
      </c>
      <c r="L201" s="27">
        <f>IFERROR(HLOOKUP(Таблица5[[#Headers],[Код КазНИИСА]],'WV 4.0'!$A:$N,ROW('WV 4.0'!190:190),0),"")</f>
        <v>0</v>
      </c>
      <c r="M201" s="27" t="str">
        <f>IFERROR(HLOOKUP(Таблица5[[#Headers],[РРЦ в тнг]],'WV 4.0'!$A:$N,ROW('WV 4.0'!190:190),0),"")</f>
        <v/>
      </c>
      <c r="N201" s="27" t="str">
        <f>IFERROR(HLOOKUP(Таблица5[[#Headers],[Сумма РРЦ]],'WV 4.0'!$A:$N,ROW('WV 4.0'!190:190),0),"")</f>
        <v/>
      </c>
    </row>
    <row r="202" spans="1:14" x14ac:dyDescent="0.25">
      <c r="A202" s="29">
        <f>IFERROR('WV 4.0'!A191, " ")</f>
        <v>0</v>
      </c>
      <c r="B202" s="29">
        <f>IFERROR('WV 4.0'!B191, " ")</f>
        <v>0</v>
      </c>
      <c r="C202" s="29">
        <f>IFERROR('WV 4.0'!C191, " ")</f>
        <v>0</v>
      </c>
      <c r="D202" s="29">
        <f>IFERROR('WV 4.0'!D191, " ")</f>
        <v>0</v>
      </c>
      <c r="E202" s="29">
        <f>IFERROR('WV 4.0'!E191, " ")</f>
        <v>0</v>
      </c>
      <c r="F202" s="27">
        <f>IFERROR(ROUND(HLOOKUP(Таблица5[[#Headers],[Цена КП]],'WV 4.0'!$A:$N,ROW('WV 4.0'!191:191),0),0),"")</f>
        <v>0</v>
      </c>
      <c r="G202" s="27">
        <f>IFERROR(Таблица5[[#This Row],[Цена КП]]*Таблица5[[#This Row],[Кол-во]],"")</f>
        <v>0</v>
      </c>
      <c r="H202" s="42">
        <f>IFERROR(HLOOKUP(Таблица5[[#Headers],[Комментарии]],'WV 4.0'!$A:$N,ROW('WV 4.0'!191:191),0),"")</f>
        <v>0</v>
      </c>
      <c r="I202" s="42">
        <f>IFERROR(HLOOKUP(Таблица5[[#Headers],[Срок поставки]],'WV 4.0'!$A:$N,ROW('WV 4.0'!191:191),0),"")</f>
        <v>0</v>
      </c>
      <c r="J202" s="27" t="str">
        <f>IFERROR(HLOOKUP(Таблица5[[#Headers],[Цена КазНИИСА]],'WV 4.0'!$A:$N,ROW('WV 4.0'!191:191),0),"")</f>
        <v/>
      </c>
      <c r="K202" s="27" t="str">
        <f>IFERROR(HLOOKUP(Таблица5[[#Headers],[Сумма КазНИИСА]],'WV 4.0'!$A:$N,ROW('WV 4.0'!191:191),0),"")</f>
        <v/>
      </c>
      <c r="L202" s="27">
        <f>IFERROR(HLOOKUP(Таблица5[[#Headers],[Код КазНИИСА]],'WV 4.0'!$A:$N,ROW('WV 4.0'!191:191),0),"")</f>
        <v>0</v>
      </c>
      <c r="M202" s="27" t="str">
        <f>IFERROR(HLOOKUP(Таблица5[[#Headers],[РРЦ в тнг]],'WV 4.0'!$A:$N,ROW('WV 4.0'!191:191),0),"")</f>
        <v/>
      </c>
      <c r="N202" s="27" t="str">
        <f>IFERROR(HLOOKUP(Таблица5[[#Headers],[Сумма РРЦ]],'WV 4.0'!$A:$N,ROW('WV 4.0'!191:191),0),"")</f>
        <v/>
      </c>
    </row>
    <row r="203" spans="1:14" x14ac:dyDescent="0.25">
      <c r="A203" s="29">
        <f>IFERROR('WV 4.0'!A192, " ")</f>
        <v>0</v>
      </c>
      <c r="B203" s="29">
        <f>IFERROR('WV 4.0'!B192, " ")</f>
        <v>0</v>
      </c>
      <c r="C203" s="29">
        <f>IFERROR('WV 4.0'!C192, " ")</f>
        <v>0</v>
      </c>
      <c r="D203" s="29">
        <f>IFERROR('WV 4.0'!D192, " ")</f>
        <v>0</v>
      </c>
      <c r="E203" s="29">
        <f>IFERROR('WV 4.0'!E192, " ")</f>
        <v>0</v>
      </c>
      <c r="F203" s="27">
        <f>IFERROR(ROUND(HLOOKUP(Таблица5[[#Headers],[Цена КП]],'WV 4.0'!$A:$N,ROW('WV 4.0'!192:192),0),0),"")</f>
        <v>0</v>
      </c>
      <c r="G203" s="27">
        <f>IFERROR(Таблица5[[#This Row],[Цена КП]]*Таблица5[[#This Row],[Кол-во]],"")</f>
        <v>0</v>
      </c>
      <c r="H203" s="42">
        <f>IFERROR(HLOOKUP(Таблица5[[#Headers],[Комментарии]],'WV 4.0'!$A:$N,ROW('WV 4.0'!192:192),0),"")</f>
        <v>0</v>
      </c>
      <c r="I203" s="42">
        <f>IFERROR(HLOOKUP(Таблица5[[#Headers],[Срок поставки]],'WV 4.0'!$A:$N,ROW('WV 4.0'!192:192),0),"")</f>
        <v>0</v>
      </c>
      <c r="J203" s="27" t="str">
        <f>IFERROR(HLOOKUP(Таблица5[[#Headers],[Цена КазНИИСА]],'WV 4.0'!$A:$N,ROW('WV 4.0'!192:192),0),"")</f>
        <v/>
      </c>
      <c r="K203" s="27" t="str">
        <f>IFERROR(HLOOKUP(Таблица5[[#Headers],[Сумма КазНИИСА]],'WV 4.0'!$A:$N,ROW('WV 4.0'!192:192),0),"")</f>
        <v/>
      </c>
      <c r="L203" s="27">
        <f>IFERROR(HLOOKUP(Таблица5[[#Headers],[Код КазНИИСА]],'WV 4.0'!$A:$N,ROW('WV 4.0'!192:192),0),"")</f>
        <v>0</v>
      </c>
      <c r="M203" s="27" t="str">
        <f>IFERROR(HLOOKUP(Таблица5[[#Headers],[РРЦ в тнг]],'WV 4.0'!$A:$N,ROW('WV 4.0'!192:192),0),"")</f>
        <v/>
      </c>
      <c r="N203" s="27" t="str">
        <f>IFERROR(HLOOKUP(Таблица5[[#Headers],[Сумма РРЦ]],'WV 4.0'!$A:$N,ROW('WV 4.0'!192:192),0),"")</f>
        <v/>
      </c>
    </row>
    <row r="204" spans="1:14" x14ac:dyDescent="0.25">
      <c r="A204" s="29">
        <f>IFERROR('WV 4.0'!A193, " ")</f>
        <v>0</v>
      </c>
      <c r="B204" s="29">
        <f>IFERROR('WV 4.0'!B193, " ")</f>
        <v>0</v>
      </c>
      <c r="C204" s="29">
        <f>IFERROR('WV 4.0'!C193, " ")</f>
        <v>0</v>
      </c>
      <c r="D204" s="29">
        <f>IFERROR('WV 4.0'!D193, " ")</f>
        <v>0</v>
      </c>
      <c r="E204" s="29">
        <f>IFERROR('WV 4.0'!E193, " ")</f>
        <v>0</v>
      </c>
      <c r="F204" s="27">
        <f>IFERROR(ROUND(HLOOKUP(Таблица5[[#Headers],[Цена КП]],'WV 4.0'!$A:$N,ROW('WV 4.0'!193:193),0),0),"")</f>
        <v>0</v>
      </c>
      <c r="G204" s="27">
        <f>IFERROR(Таблица5[[#This Row],[Цена КП]]*Таблица5[[#This Row],[Кол-во]],"")</f>
        <v>0</v>
      </c>
      <c r="H204" s="42">
        <f>IFERROR(HLOOKUP(Таблица5[[#Headers],[Комментарии]],'WV 4.0'!$A:$N,ROW('WV 4.0'!193:193),0),"")</f>
        <v>0</v>
      </c>
      <c r="I204" s="42">
        <f>IFERROR(HLOOKUP(Таблица5[[#Headers],[Срок поставки]],'WV 4.0'!$A:$N,ROW('WV 4.0'!193:193),0),"")</f>
        <v>0</v>
      </c>
      <c r="J204" s="27" t="str">
        <f>IFERROR(HLOOKUP(Таблица5[[#Headers],[Цена КазНИИСА]],'WV 4.0'!$A:$N,ROW('WV 4.0'!193:193),0),"")</f>
        <v/>
      </c>
      <c r="K204" s="27" t="str">
        <f>IFERROR(HLOOKUP(Таблица5[[#Headers],[Сумма КазНИИСА]],'WV 4.0'!$A:$N,ROW('WV 4.0'!193:193),0),"")</f>
        <v/>
      </c>
      <c r="L204" s="27">
        <f>IFERROR(HLOOKUP(Таблица5[[#Headers],[Код КазНИИСА]],'WV 4.0'!$A:$N,ROW('WV 4.0'!193:193),0),"")</f>
        <v>0</v>
      </c>
      <c r="M204" s="27" t="str">
        <f>IFERROR(HLOOKUP(Таблица5[[#Headers],[РРЦ в тнг]],'WV 4.0'!$A:$N,ROW('WV 4.0'!193:193),0),"")</f>
        <v/>
      </c>
      <c r="N204" s="27" t="str">
        <f>IFERROR(HLOOKUP(Таблица5[[#Headers],[Сумма РРЦ]],'WV 4.0'!$A:$N,ROW('WV 4.0'!193:193),0),"")</f>
        <v/>
      </c>
    </row>
    <row r="205" spans="1:14" x14ac:dyDescent="0.25">
      <c r="A205" s="29">
        <f>IFERROR('WV 4.0'!A194, " ")</f>
        <v>0</v>
      </c>
      <c r="B205" s="29">
        <f>IFERROR('WV 4.0'!B194, " ")</f>
        <v>0</v>
      </c>
      <c r="C205" s="29">
        <f>IFERROR('WV 4.0'!C194, " ")</f>
        <v>0</v>
      </c>
      <c r="D205" s="29">
        <f>IFERROR('WV 4.0'!D194, " ")</f>
        <v>0</v>
      </c>
      <c r="E205" s="29">
        <f>IFERROR('WV 4.0'!E194, " ")</f>
        <v>0</v>
      </c>
      <c r="F205" s="27">
        <f>IFERROR(ROUND(HLOOKUP(Таблица5[[#Headers],[Цена КП]],'WV 4.0'!$A:$N,ROW('WV 4.0'!194:194),0),0),"")</f>
        <v>0</v>
      </c>
      <c r="G205" s="27">
        <f>IFERROR(Таблица5[[#This Row],[Цена КП]]*Таблица5[[#This Row],[Кол-во]],"")</f>
        <v>0</v>
      </c>
      <c r="H205" s="42">
        <f>IFERROR(HLOOKUP(Таблица5[[#Headers],[Комментарии]],'WV 4.0'!$A:$N,ROW('WV 4.0'!194:194),0),"")</f>
        <v>0</v>
      </c>
      <c r="I205" s="42">
        <f>IFERROR(HLOOKUP(Таблица5[[#Headers],[Срок поставки]],'WV 4.0'!$A:$N,ROW('WV 4.0'!194:194),0),"")</f>
        <v>0</v>
      </c>
      <c r="J205" s="27" t="str">
        <f>IFERROR(HLOOKUP(Таблица5[[#Headers],[Цена КазНИИСА]],'WV 4.0'!$A:$N,ROW('WV 4.0'!194:194),0),"")</f>
        <v/>
      </c>
      <c r="K205" s="27" t="str">
        <f>IFERROR(HLOOKUP(Таблица5[[#Headers],[Сумма КазНИИСА]],'WV 4.0'!$A:$N,ROW('WV 4.0'!194:194),0),"")</f>
        <v/>
      </c>
      <c r="L205" s="27">
        <f>IFERROR(HLOOKUP(Таблица5[[#Headers],[Код КазНИИСА]],'WV 4.0'!$A:$N,ROW('WV 4.0'!194:194),0),"")</f>
        <v>0</v>
      </c>
      <c r="M205" s="27" t="str">
        <f>IFERROR(HLOOKUP(Таблица5[[#Headers],[РРЦ в тнг]],'WV 4.0'!$A:$N,ROW('WV 4.0'!194:194),0),"")</f>
        <v/>
      </c>
      <c r="N205" s="27" t="str">
        <f>IFERROR(HLOOKUP(Таблица5[[#Headers],[Сумма РРЦ]],'WV 4.0'!$A:$N,ROW('WV 4.0'!194:194),0),"")</f>
        <v/>
      </c>
    </row>
    <row r="206" spans="1:14" x14ac:dyDescent="0.25">
      <c r="A206" s="29">
        <f>IFERROR('WV 4.0'!A195, " ")</f>
        <v>0</v>
      </c>
      <c r="B206" s="29">
        <f>IFERROR('WV 4.0'!B195, " ")</f>
        <v>0</v>
      </c>
      <c r="C206" s="29">
        <f>IFERROR('WV 4.0'!C195, " ")</f>
        <v>0</v>
      </c>
      <c r="D206" s="29">
        <f>IFERROR('WV 4.0'!D195, " ")</f>
        <v>0</v>
      </c>
      <c r="E206" s="29">
        <f>IFERROR('WV 4.0'!E195, " ")</f>
        <v>0</v>
      </c>
      <c r="F206" s="27">
        <f>IFERROR(ROUND(HLOOKUP(Таблица5[[#Headers],[Цена КП]],'WV 4.0'!$A:$N,ROW('WV 4.0'!195:195),0),0),"")</f>
        <v>0</v>
      </c>
      <c r="G206" s="27">
        <f>IFERROR(Таблица5[[#This Row],[Цена КП]]*Таблица5[[#This Row],[Кол-во]],"")</f>
        <v>0</v>
      </c>
      <c r="H206" s="42">
        <f>IFERROR(HLOOKUP(Таблица5[[#Headers],[Комментарии]],'WV 4.0'!$A:$N,ROW('WV 4.0'!195:195),0),"")</f>
        <v>0</v>
      </c>
      <c r="I206" s="42">
        <f>IFERROR(HLOOKUP(Таблица5[[#Headers],[Срок поставки]],'WV 4.0'!$A:$N,ROW('WV 4.0'!195:195),0),"")</f>
        <v>0</v>
      </c>
      <c r="J206" s="27" t="str">
        <f>IFERROR(HLOOKUP(Таблица5[[#Headers],[Цена КазНИИСА]],'WV 4.0'!$A:$N,ROW('WV 4.0'!195:195),0),"")</f>
        <v/>
      </c>
      <c r="K206" s="27" t="str">
        <f>IFERROR(HLOOKUP(Таблица5[[#Headers],[Сумма КазНИИСА]],'WV 4.0'!$A:$N,ROW('WV 4.0'!195:195),0),"")</f>
        <v/>
      </c>
      <c r="L206" s="27">
        <f>IFERROR(HLOOKUP(Таблица5[[#Headers],[Код КазНИИСА]],'WV 4.0'!$A:$N,ROW('WV 4.0'!195:195),0),"")</f>
        <v>0</v>
      </c>
      <c r="M206" s="27" t="str">
        <f>IFERROR(HLOOKUP(Таблица5[[#Headers],[РРЦ в тнг]],'WV 4.0'!$A:$N,ROW('WV 4.0'!195:195),0),"")</f>
        <v/>
      </c>
      <c r="N206" s="27" t="str">
        <f>IFERROR(HLOOKUP(Таблица5[[#Headers],[Сумма РРЦ]],'WV 4.0'!$A:$N,ROW('WV 4.0'!195:195),0),"")</f>
        <v/>
      </c>
    </row>
    <row r="207" spans="1:14" x14ac:dyDescent="0.25">
      <c r="A207" s="29">
        <f>IFERROR('WV 4.0'!A196, " ")</f>
        <v>0</v>
      </c>
      <c r="B207" s="29">
        <f>IFERROR('WV 4.0'!B196, " ")</f>
        <v>0</v>
      </c>
      <c r="C207" s="29">
        <f>IFERROR('WV 4.0'!C196, " ")</f>
        <v>0</v>
      </c>
      <c r="D207" s="29">
        <f>IFERROR('WV 4.0'!D196, " ")</f>
        <v>0</v>
      </c>
      <c r="E207" s="29">
        <f>IFERROR('WV 4.0'!E196, " ")</f>
        <v>0</v>
      </c>
      <c r="F207" s="27">
        <f>IFERROR(ROUND(HLOOKUP(Таблица5[[#Headers],[Цена КП]],'WV 4.0'!$A:$N,ROW('WV 4.0'!196:196),0),0),"")</f>
        <v>0</v>
      </c>
      <c r="G207" s="27">
        <f>IFERROR(Таблица5[[#This Row],[Цена КП]]*Таблица5[[#This Row],[Кол-во]],"")</f>
        <v>0</v>
      </c>
      <c r="H207" s="42">
        <f>IFERROR(HLOOKUP(Таблица5[[#Headers],[Комментарии]],'WV 4.0'!$A:$N,ROW('WV 4.0'!196:196),0),"")</f>
        <v>0</v>
      </c>
      <c r="I207" s="42">
        <f>IFERROR(HLOOKUP(Таблица5[[#Headers],[Срок поставки]],'WV 4.0'!$A:$N,ROW('WV 4.0'!196:196),0),"")</f>
        <v>0</v>
      </c>
      <c r="J207" s="27" t="str">
        <f>IFERROR(HLOOKUP(Таблица5[[#Headers],[Цена КазНИИСА]],'WV 4.0'!$A:$N,ROW('WV 4.0'!196:196),0),"")</f>
        <v/>
      </c>
      <c r="K207" s="27" t="str">
        <f>IFERROR(HLOOKUP(Таблица5[[#Headers],[Сумма КазНИИСА]],'WV 4.0'!$A:$N,ROW('WV 4.0'!196:196),0),"")</f>
        <v/>
      </c>
      <c r="L207" s="27">
        <f>IFERROR(HLOOKUP(Таблица5[[#Headers],[Код КазНИИСА]],'WV 4.0'!$A:$N,ROW('WV 4.0'!196:196),0),"")</f>
        <v>0</v>
      </c>
      <c r="M207" s="27" t="str">
        <f>IFERROR(HLOOKUP(Таблица5[[#Headers],[РРЦ в тнг]],'WV 4.0'!$A:$N,ROW('WV 4.0'!196:196),0),"")</f>
        <v/>
      </c>
      <c r="N207" s="27" t="str">
        <f>IFERROR(HLOOKUP(Таблица5[[#Headers],[Сумма РРЦ]],'WV 4.0'!$A:$N,ROW('WV 4.0'!196:196),0),"")</f>
        <v/>
      </c>
    </row>
    <row r="208" spans="1:14" x14ac:dyDescent="0.25">
      <c r="A208" s="29">
        <f>IFERROR('WV 4.0'!A197, " ")</f>
        <v>0</v>
      </c>
      <c r="B208" s="29">
        <f>IFERROR('WV 4.0'!B197, " ")</f>
        <v>0</v>
      </c>
      <c r="C208" s="29">
        <f>IFERROR('WV 4.0'!C197, " ")</f>
        <v>0</v>
      </c>
      <c r="D208" s="29">
        <f>IFERROR('WV 4.0'!D197, " ")</f>
        <v>0</v>
      </c>
      <c r="E208" s="29">
        <f>IFERROR('WV 4.0'!E197, " ")</f>
        <v>0</v>
      </c>
      <c r="F208" s="27">
        <f>IFERROR(ROUND(HLOOKUP(Таблица5[[#Headers],[Цена КП]],'WV 4.0'!$A:$N,ROW('WV 4.0'!197:197),0),0),"")</f>
        <v>0</v>
      </c>
      <c r="G208" s="27">
        <f>IFERROR(Таблица5[[#This Row],[Цена КП]]*Таблица5[[#This Row],[Кол-во]],"")</f>
        <v>0</v>
      </c>
      <c r="H208" s="42">
        <f>IFERROR(HLOOKUP(Таблица5[[#Headers],[Комментарии]],'WV 4.0'!$A:$N,ROW('WV 4.0'!197:197),0),"")</f>
        <v>0</v>
      </c>
      <c r="I208" s="42">
        <f>IFERROR(HLOOKUP(Таблица5[[#Headers],[Срок поставки]],'WV 4.0'!$A:$N,ROW('WV 4.0'!197:197),0),"")</f>
        <v>0</v>
      </c>
      <c r="J208" s="27" t="str">
        <f>IFERROR(HLOOKUP(Таблица5[[#Headers],[Цена КазНИИСА]],'WV 4.0'!$A:$N,ROW('WV 4.0'!197:197),0),"")</f>
        <v/>
      </c>
      <c r="K208" s="27" t="str">
        <f>IFERROR(HLOOKUP(Таблица5[[#Headers],[Сумма КазНИИСА]],'WV 4.0'!$A:$N,ROW('WV 4.0'!197:197),0),"")</f>
        <v/>
      </c>
      <c r="L208" s="27">
        <f>IFERROR(HLOOKUP(Таблица5[[#Headers],[Код КазНИИСА]],'WV 4.0'!$A:$N,ROW('WV 4.0'!197:197),0),"")</f>
        <v>0</v>
      </c>
      <c r="M208" s="27" t="str">
        <f>IFERROR(HLOOKUP(Таблица5[[#Headers],[РРЦ в тнг]],'WV 4.0'!$A:$N,ROW('WV 4.0'!197:197),0),"")</f>
        <v/>
      </c>
      <c r="N208" s="27" t="str">
        <f>IFERROR(HLOOKUP(Таблица5[[#Headers],[Сумма РРЦ]],'WV 4.0'!$A:$N,ROW('WV 4.0'!197:197),0),"")</f>
        <v/>
      </c>
    </row>
    <row r="209" spans="1:14" x14ac:dyDescent="0.25">
      <c r="A209" s="29">
        <f>IFERROR('WV 4.0'!A198, " ")</f>
        <v>0</v>
      </c>
      <c r="B209" s="29">
        <f>IFERROR('WV 4.0'!B198, " ")</f>
        <v>0</v>
      </c>
      <c r="C209" s="29">
        <f>IFERROR('WV 4.0'!C198, " ")</f>
        <v>0</v>
      </c>
      <c r="D209" s="29">
        <f>IFERROR('WV 4.0'!D198, " ")</f>
        <v>0</v>
      </c>
      <c r="E209" s="29">
        <f>IFERROR('WV 4.0'!E198, " ")</f>
        <v>0</v>
      </c>
      <c r="F209" s="27">
        <f>IFERROR(ROUND(HLOOKUP(Таблица5[[#Headers],[Цена КП]],'WV 4.0'!$A:$N,ROW('WV 4.0'!198:198),0),0),"")</f>
        <v>0</v>
      </c>
      <c r="G209" s="27">
        <f>IFERROR(Таблица5[[#This Row],[Цена КП]]*Таблица5[[#This Row],[Кол-во]],"")</f>
        <v>0</v>
      </c>
      <c r="H209" s="42">
        <f>IFERROR(HLOOKUP(Таблица5[[#Headers],[Комментарии]],'WV 4.0'!$A:$N,ROW('WV 4.0'!198:198),0),"")</f>
        <v>0</v>
      </c>
      <c r="I209" s="42">
        <f>IFERROR(HLOOKUP(Таблица5[[#Headers],[Срок поставки]],'WV 4.0'!$A:$N,ROW('WV 4.0'!198:198),0),"")</f>
        <v>0</v>
      </c>
      <c r="J209" s="27" t="str">
        <f>IFERROR(HLOOKUP(Таблица5[[#Headers],[Цена КазНИИСА]],'WV 4.0'!$A:$N,ROW('WV 4.0'!198:198),0),"")</f>
        <v/>
      </c>
      <c r="K209" s="27" t="str">
        <f>IFERROR(HLOOKUP(Таблица5[[#Headers],[Сумма КазНИИСА]],'WV 4.0'!$A:$N,ROW('WV 4.0'!198:198),0),"")</f>
        <v/>
      </c>
      <c r="L209" s="27">
        <f>IFERROR(HLOOKUP(Таблица5[[#Headers],[Код КазНИИСА]],'WV 4.0'!$A:$N,ROW('WV 4.0'!198:198),0),"")</f>
        <v>0</v>
      </c>
      <c r="M209" s="27" t="str">
        <f>IFERROR(HLOOKUP(Таблица5[[#Headers],[РРЦ в тнг]],'WV 4.0'!$A:$N,ROW('WV 4.0'!198:198),0),"")</f>
        <v/>
      </c>
      <c r="N209" s="27" t="str">
        <f>IFERROR(HLOOKUP(Таблица5[[#Headers],[Сумма РРЦ]],'WV 4.0'!$A:$N,ROW('WV 4.0'!198:198),0),"")</f>
        <v/>
      </c>
    </row>
    <row r="210" spans="1:14" x14ac:dyDescent="0.25">
      <c r="A210" s="29">
        <f>IFERROR('WV 4.0'!A199, " ")</f>
        <v>0</v>
      </c>
      <c r="B210" s="29">
        <f>IFERROR('WV 4.0'!B199, " ")</f>
        <v>0</v>
      </c>
      <c r="C210" s="29">
        <f>IFERROR('WV 4.0'!C199, " ")</f>
        <v>0</v>
      </c>
      <c r="D210" s="29">
        <f>IFERROR('WV 4.0'!D199, " ")</f>
        <v>0</v>
      </c>
      <c r="E210" s="29">
        <f>IFERROR('WV 4.0'!E199, " ")</f>
        <v>0</v>
      </c>
      <c r="F210" s="27">
        <f>IFERROR(ROUND(HLOOKUP(Таблица5[[#Headers],[Цена КП]],'WV 4.0'!$A:$N,ROW('WV 4.0'!199:199),0),0),"")</f>
        <v>0</v>
      </c>
      <c r="G210" s="27">
        <f>IFERROR(Таблица5[[#This Row],[Цена КП]]*Таблица5[[#This Row],[Кол-во]],"")</f>
        <v>0</v>
      </c>
      <c r="H210" s="42">
        <f>IFERROR(HLOOKUP(Таблица5[[#Headers],[Комментарии]],'WV 4.0'!$A:$N,ROW('WV 4.0'!199:199),0),"")</f>
        <v>0</v>
      </c>
      <c r="I210" s="42">
        <f>IFERROR(HLOOKUP(Таблица5[[#Headers],[Срок поставки]],'WV 4.0'!$A:$N,ROW('WV 4.0'!199:199),0),"")</f>
        <v>0</v>
      </c>
      <c r="J210" s="27" t="str">
        <f>IFERROR(HLOOKUP(Таблица5[[#Headers],[Цена КазНИИСА]],'WV 4.0'!$A:$N,ROW('WV 4.0'!199:199),0),"")</f>
        <v/>
      </c>
      <c r="K210" s="27" t="str">
        <f>IFERROR(HLOOKUP(Таблица5[[#Headers],[Сумма КазНИИСА]],'WV 4.0'!$A:$N,ROW('WV 4.0'!199:199),0),"")</f>
        <v/>
      </c>
      <c r="L210" s="27">
        <f>IFERROR(HLOOKUP(Таблица5[[#Headers],[Код КазНИИСА]],'WV 4.0'!$A:$N,ROW('WV 4.0'!199:199),0),"")</f>
        <v>0</v>
      </c>
      <c r="M210" s="27" t="str">
        <f>IFERROR(HLOOKUP(Таблица5[[#Headers],[РРЦ в тнг]],'WV 4.0'!$A:$N,ROW('WV 4.0'!199:199),0),"")</f>
        <v/>
      </c>
      <c r="N210" s="27" t="str">
        <f>IFERROR(HLOOKUP(Таблица5[[#Headers],[Сумма РРЦ]],'WV 4.0'!$A:$N,ROW('WV 4.0'!199:199),0),"")</f>
        <v/>
      </c>
    </row>
    <row r="211" spans="1:14" x14ac:dyDescent="0.25">
      <c r="A211" s="29">
        <f>IFERROR('WV 4.0'!A200, " ")</f>
        <v>0</v>
      </c>
      <c r="B211" s="29">
        <f>IFERROR('WV 4.0'!B200, " ")</f>
        <v>0</v>
      </c>
      <c r="C211" s="29">
        <f>IFERROR('WV 4.0'!C200, " ")</f>
        <v>0</v>
      </c>
      <c r="D211" s="29">
        <f>IFERROR('WV 4.0'!D200, " ")</f>
        <v>0</v>
      </c>
      <c r="E211" s="29">
        <f>IFERROR('WV 4.0'!E200, " ")</f>
        <v>0</v>
      </c>
      <c r="F211" s="27">
        <f>IFERROR(ROUND(HLOOKUP(Таблица5[[#Headers],[Цена КП]],'WV 4.0'!$A:$N,ROW('WV 4.0'!200:200),0),0),"")</f>
        <v>0</v>
      </c>
      <c r="G211" s="27">
        <f>IFERROR(Таблица5[[#This Row],[Цена КП]]*Таблица5[[#This Row],[Кол-во]],"")</f>
        <v>0</v>
      </c>
      <c r="H211" s="42">
        <f>IFERROR(HLOOKUP(Таблица5[[#Headers],[Комментарии]],'WV 4.0'!$A:$N,ROW('WV 4.0'!200:200),0),"")</f>
        <v>0</v>
      </c>
      <c r="I211" s="42">
        <f>IFERROR(HLOOKUP(Таблица5[[#Headers],[Срок поставки]],'WV 4.0'!$A:$N,ROW('WV 4.0'!200:200),0),"")</f>
        <v>0</v>
      </c>
      <c r="J211" s="27" t="str">
        <f>IFERROR(HLOOKUP(Таблица5[[#Headers],[Цена КазНИИСА]],'WV 4.0'!$A:$N,ROW('WV 4.0'!200:200),0),"")</f>
        <v/>
      </c>
      <c r="K211" s="27" t="str">
        <f>IFERROR(HLOOKUP(Таблица5[[#Headers],[Сумма КазНИИСА]],'WV 4.0'!$A:$N,ROW('WV 4.0'!200:200),0),"")</f>
        <v/>
      </c>
      <c r="L211" s="27">
        <f>IFERROR(HLOOKUP(Таблица5[[#Headers],[Код КазНИИСА]],'WV 4.0'!$A:$N,ROW('WV 4.0'!200:200),0),"")</f>
        <v>0</v>
      </c>
      <c r="M211" s="27" t="str">
        <f>IFERROR(HLOOKUP(Таблица5[[#Headers],[РРЦ в тнг]],'WV 4.0'!$A:$N,ROW('WV 4.0'!200:200),0),"")</f>
        <v/>
      </c>
      <c r="N211" s="27" t="str">
        <f>IFERROR(HLOOKUP(Таблица5[[#Headers],[Сумма РРЦ]],'WV 4.0'!$A:$N,ROW('WV 4.0'!200:200),0),"")</f>
        <v/>
      </c>
    </row>
    <row r="212" spans="1:14" x14ac:dyDescent="0.25">
      <c r="A212" s="29">
        <f>IFERROR('WV 4.0'!A201, " ")</f>
        <v>0</v>
      </c>
      <c r="B212" s="29">
        <f>IFERROR('WV 4.0'!B201, " ")</f>
        <v>0</v>
      </c>
      <c r="C212" s="29">
        <f>IFERROR('WV 4.0'!C201, " ")</f>
        <v>0</v>
      </c>
      <c r="D212" s="29">
        <f>IFERROR('WV 4.0'!D201, " ")</f>
        <v>0</v>
      </c>
      <c r="E212" s="29">
        <f>IFERROR('WV 4.0'!E201, " ")</f>
        <v>0</v>
      </c>
      <c r="F212" s="27">
        <f>IFERROR(ROUND(HLOOKUP(Таблица5[[#Headers],[Цена КП]],'WV 4.0'!$A:$N,ROW('WV 4.0'!201:201),0),0),"")</f>
        <v>0</v>
      </c>
      <c r="G212" s="27">
        <f>IFERROR(Таблица5[[#This Row],[Цена КП]]*Таблица5[[#This Row],[Кол-во]],"")</f>
        <v>0</v>
      </c>
      <c r="H212" s="42">
        <f>IFERROR(HLOOKUP(Таблица5[[#Headers],[Комментарии]],'WV 4.0'!$A:$N,ROW('WV 4.0'!201:201),0),"")</f>
        <v>0</v>
      </c>
      <c r="I212" s="42">
        <f>IFERROR(HLOOKUP(Таблица5[[#Headers],[Срок поставки]],'WV 4.0'!$A:$N,ROW('WV 4.0'!201:201),0),"")</f>
        <v>0</v>
      </c>
      <c r="J212" s="27" t="str">
        <f>IFERROR(HLOOKUP(Таблица5[[#Headers],[Цена КазНИИСА]],'WV 4.0'!$A:$N,ROW('WV 4.0'!201:201),0),"")</f>
        <v/>
      </c>
      <c r="K212" s="27" t="str">
        <f>IFERROR(HLOOKUP(Таблица5[[#Headers],[Сумма КазНИИСА]],'WV 4.0'!$A:$N,ROW('WV 4.0'!201:201),0),"")</f>
        <v/>
      </c>
      <c r="L212" s="27">
        <f>IFERROR(HLOOKUP(Таблица5[[#Headers],[Код КазНИИСА]],'WV 4.0'!$A:$N,ROW('WV 4.0'!201:201),0),"")</f>
        <v>0</v>
      </c>
      <c r="M212" s="27" t="str">
        <f>IFERROR(HLOOKUP(Таблица5[[#Headers],[РРЦ в тнг]],'WV 4.0'!$A:$N,ROW('WV 4.0'!201:201),0),"")</f>
        <v/>
      </c>
      <c r="N212" s="27" t="str">
        <f>IFERROR(HLOOKUP(Таблица5[[#Headers],[Сумма РРЦ]],'WV 4.0'!$A:$N,ROW('WV 4.0'!201:201),0),"")</f>
        <v/>
      </c>
    </row>
    <row r="213" spans="1:14" x14ac:dyDescent="0.25">
      <c r="A213" s="29">
        <f>IFERROR('WV 4.0'!A202, " ")</f>
        <v>0</v>
      </c>
      <c r="B213" s="29">
        <f>IFERROR('WV 4.0'!B202, " ")</f>
        <v>0</v>
      </c>
      <c r="C213" s="29">
        <f>IFERROR('WV 4.0'!C202, " ")</f>
        <v>0</v>
      </c>
      <c r="D213" s="29">
        <f>IFERROR('WV 4.0'!D202, " ")</f>
        <v>0</v>
      </c>
      <c r="E213" s="29">
        <f>IFERROR('WV 4.0'!E202, " ")</f>
        <v>0</v>
      </c>
      <c r="F213" s="27">
        <f>IFERROR(ROUND(HLOOKUP(Таблица5[[#Headers],[Цена КП]],'WV 4.0'!$A:$N,ROW('WV 4.0'!202:202),0),0),"")</f>
        <v>0</v>
      </c>
      <c r="G213" s="27">
        <f>IFERROR(Таблица5[[#This Row],[Цена КП]]*Таблица5[[#This Row],[Кол-во]],"")</f>
        <v>0</v>
      </c>
      <c r="H213" s="42">
        <f>IFERROR(HLOOKUP(Таблица5[[#Headers],[Комментарии]],'WV 4.0'!$A:$N,ROW('WV 4.0'!202:202),0),"")</f>
        <v>0</v>
      </c>
      <c r="I213" s="42">
        <f>IFERROR(HLOOKUP(Таблица5[[#Headers],[Срок поставки]],'WV 4.0'!$A:$N,ROW('WV 4.0'!202:202),0),"")</f>
        <v>0</v>
      </c>
      <c r="J213" s="27" t="str">
        <f>IFERROR(HLOOKUP(Таблица5[[#Headers],[Цена КазНИИСА]],'WV 4.0'!$A:$N,ROW('WV 4.0'!202:202),0),"")</f>
        <v/>
      </c>
      <c r="K213" s="27" t="str">
        <f>IFERROR(HLOOKUP(Таблица5[[#Headers],[Сумма КазНИИСА]],'WV 4.0'!$A:$N,ROW('WV 4.0'!202:202),0),"")</f>
        <v/>
      </c>
      <c r="L213" s="27">
        <f>IFERROR(HLOOKUP(Таблица5[[#Headers],[Код КазНИИСА]],'WV 4.0'!$A:$N,ROW('WV 4.0'!202:202),0),"")</f>
        <v>0</v>
      </c>
      <c r="M213" s="27" t="str">
        <f>IFERROR(HLOOKUP(Таблица5[[#Headers],[РРЦ в тнг]],'WV 4.0'!$A:$N,ROW('WV 4.0'!202:202),0),"")</f>
        <v/>
      </c>
      <c r="N213" s="27" t="str">
        <f>IFERROR(HLOOKUP(Таблица5[[#Headers],[Сумма РРЦ]],'WV 4.0'!$A:$N,ROW('WV 4.0'!202:202),0),"")</f>
        <v/>
      </c>
    </row>
    <row r="214" spans="1:14" x14ac:dyDescent="0.25">
      <c r="A214" s="29">
        <f>IFERROR('WV 4.0'!A203, " ")</f>
        <v>0</v>
      </c>
      <c r="B214" s="29">
        <f>IFERROR('WV 4.0'!B203, " ")</f>
        <v>0</v>
      </c>
      <c r="C214" s="29">
        <f>IFERROR('WV 4.0'!C203, " ")</f>
        <v>0</v>
      </c>
      <c r="D214" s="29">
        <f>IFERROR('WV 4.0'!D203, " ")</f>
        <v>0</v>
      </c>
      <c r="E214" s="29">
        <f>IFERROR('WV 4.0'!E203, " ")</f>
        <v>0</v>
      </c>
      <c r="F214" s="27">
        <f>IFERROR(ROUND(HLOOKUP(Таблица5[[#Headers],[Цена КП]],'WV 4.0'!$A:$N,ROW('WV 4.0'!203:203),0),0),"")</f>
        <v>0</v>
      </c>
      <c r="G214" s="27">
        <f>IFERROR(Таблица5[[#This Row],[Цена КП]]*Таблица5[[#This Row],[Кол-во]],"")</f>
        <v>0</v>
      </c>
      <c r="H214" s="42">
        <f>IFERROR(HLOOKUP(Таблица5[[#Headers],[Комментарии]],'WV 4.0'!$A:$N,ROW('WV 4.0'!203:203),0),"")</f>
        <v>0</v>
      </c>
      <c r="I214" s="42">
        <f>IFERROR(HLOOKUP(Таблица5[[#Headers],[Срок поставки]],'WV 4.0'!$A:$N,ROW('WV 4.0'!203:203),0),"")</f>
        <v>0</v>
      </c>
      <c r="J214" s="27" t="str">
        <f>IFERROR(HLOOKUP(Таблица5[[#Headers],[Цена КазНИИСА]],'WV 4.0'!$A:$N,ROW('WV 4.0'!203:203),0),"")</f>
        <v/>
      </c>
      <c r="K214" s="27" t="str">
        <f>IFERROR(HLOOKUP(Таблица5[[#Headers],[Сумма КазНИИСА]],'WV 4.0'!$A:$N,ROW('WV 4.0'!203:203),0),"")</f>
        <v/>
      </c>
      <c r="L214" s="27">
        <f>IFERROR(HLOOKUP(Таблица5[[#Headers],[Код КазНИИСА]],'WV 4.0'!$A:$N,ROW('WV 4.0'!203:203),0),"")</f>
        <v>0</v>
      </c>
      <c r="M214" s="27" t="str">
        <f>IFERROR(HLOOKUP(Таблица5[[#Headers],[РРЦ в тнг]],'WV 4.0'!$A:$N,ROW('WV 4.0'!203:203),0),"")</f>
        <v/>
      </c>
      <c r="N214" s="27" t="str">
        <f>IFERROR(HLOOKUP(Таблица5[[#Headers],[Сумма РРЦ]],'WV 4.0'!$A:$N,ROW('WV 4.0'!203:203),0),"")</f>
        <v/>
      </c>
    </row>
    <row r="215" spans="1:14" x14ac:dyDescent="0.25">
      <c r="A215" s="29">
        <f>IFERROR('WV 4.0'!A204, " ")</f>
        <v>0</v>
      </c>
      <c r="B215" s="29">
        <f>IFERROR('WV 4.0'!B204, " ")</f>
        <v>0</v>
      </c>
      <c r="C215" s="29">
        <f>IFERROR('WV 4.0'!C204, " ")</f>
        <v>0</v>
      </c>
      <c r="D215" s="29">
        <f>IFERROR('WV 4.0'!D204, " ")</f>
        <v>0</v>
      </c>
      <c r="E215" s="29">
        <f>IFERROR('WV 4.0'!E204, " ")</f>
        <v>0</v>
      </c>
      <c r="F215" s="27">
        <f>IFERROR(ROUND(HLOOKUP(Таблица5[[#Headers],[Цена КП]],'WV 4.0'!$A:$N,ROW('WV 4.0'!204:204),0),0),"")</f>
        <v>0</v>
      </c>
      <c r="G215" s="27">
        <f>IFERROR(Таблица5[[#This Row],[Цена КП]]*Таблица5[[#This Row],[Кол-во]],"")</f>
        <v>0</v>
      </c>
      <c r="H215" s="42">
        <f>IFERROR(HLOOKUP(Таблица5[[#Headers],[Комментарии]],'WV 4.0'!$A:$N,ROW('WV 4.0'!204:204),0),"")</f>
        <v>0</v>
      </c>
      <c r="I215" s="42">
        <f>IFERROR(HLOOKUP(Таблица5[[#Headers],[Срок поставки]],'WV 4.0'!$A:$N,ROW('WV 4.0'!204:204),0),"")</f>
        <v>0</v>
      </c>
      <c r="J215" s="27" t="str">
        <f>IFERROR(HLOOKUP(Таблица5[[#Headers],[Цена КазНИИСА]],'WV 4.0'!$A:$N,ROW('WV 4.0'!204:204),0),"")</f>
        <v/>
      </c>
      <c r="K215" s="27" t="str">
        <f>IFERROR(HLOOKUP(Таблица5[[#Headers],[Сумма КазНИИСА]],'WV 4.0'!$A:$N,ROW('WV 4.0'!204:204),0),"")</f>
        <v/>
      </c>
      <c r="L215" s="27">
        <f>IFERROR(HLOOKUP(Таблица5[[#Headers],[Код КазНИИСА]],'WV 4.0'!$A:$N,ROW('WV 4.0'!204:204),0),"")</f>
        <v>0</v>
      </c>
      <c r="M215" s="27" t="str">
        <f>IFERROR(HLOOKUP(Таблица5[[#Headers],[РРЦ в тнг]],'WV 4.0'!$A:$N,ROW('WV 4.0'!204:204),0),"")</f>
        <v/>
      </c>
      <c r="N215" s="27" t="str">
        <f>IFERROR(HLOOKUP(Таблица5[[#Headers],[Сумма РРЦ]],'WV 4.0'!$A:$N,ROW('WV 4.0'!204:204),0),"")</f>
        <v/>
      </c>
    </row>
    <row r="216" spans="1:14" x14ac:dyDescent="0.25">
      <c r="A216" s="29">
        <f>IFERROR('WV 4.0'!A205, " ")</f>
        <v>0</v>
      </c>
      <c r="B216" s="29">
        <f>IFERROR('WV 4.0'!B205, " ")</f>
        <v>0</v>
      </c>
      <c r="C216" s="29">
        <f>IFERROR('WV 4.0'!C205, " ")</f>
        <v>0</v>
      </c>
      <c r="D216" s="29">
        <f>IFERROR('WV 4.0'!D205, " ")</f>
        <v>0</v>
      </c>
      <c r="E216" s="29">
        <f>IFERROR('WV 4.0'!E205, " ")</f>
        <v>0</v>
      </c>
      <c r="F216" s="27">
        <f>IFERROR(ROUND(HLOOKUP(Таблица5[[#Headers],[Цена КП]],'WV 4.0'!$A:$N,ROW('WV 4.0'!205:205),0),0),"")</f>
        <v>0</v>
      </c>
      <c r="G216" s="27">
        <f>IFERROR(Таблица5[[#This Row],[Цена КП]]*Таблица5[[#This Row],[Кол-во]],"")</f>
        <v>0</v>
      </c>
      <c r="H216" s="42">
        <f>IFERROR(HLOOKUP(Таблица5[[#Headers],[Комментарии]],'WV 4.0'!$A:$N,ROW('WV 4.0'!205:205),0),"")</f>
        <v>0</v>
      </c>
      <c r="I216" s="42">
        <f>IFERROR(HLOOKUP(Таблица5[[#Headers],[Срок поставки]],'WV 4.0'!$A:$N,ROW('WV 4.0'!205:205),0),"")</f>
        <v>0</v>
      </c>
      <c r="J216" s="27" t="str">
        <f>IFERROR(HLOOKUP(Таблица5[[#Headers],[Цена КазНИИСА]],'WV 4.0'!$A:$N,ROW('WV 4.0'!205:205),0),"")</f>
        <v/>
      </c>
      <c r="K216" s="27" t="str">
        <f>IFERROR(HLOOKUP(Таблица5[[#Headers],[Сумма КазНИИСА]],'WV 4.0'!$A:$N,ROW('WV 4.0'!205:205),0),"")</f>
        <v/>
      </c>
      <c r="L216" s="27">
        <f>IFERROR(HLOOKUP(Таблица5[[#Headers],[Код КазНИИСА]],'WV 4.0'!$A:$N,ROW('WV 4.0'!205:205),0),"")</f>
        <v>0</v>
      </c>
      <c r="M216" s="27" t="str">
        <f>IFERROR(HLOOKUP(Таблица5[[#Headers],[РРЦ в тнг]],'WV 4.0'!$A:$N,ROW('WV 4.0'!205:205),0),"")</f>
        <v/>
      </c>
      <c r="N216" s="27" t="str">
        <f>IFERROR(HLOOKUP(Таблица5[[#Headers],[Сумма РРЦ]],'WV 4.0'!$A:$N,ROW('WV 4.0'!205:205),0),"")</f>
        <v/>
      </c>
    </row>
    <row r="217" spans="1:14" x14ac:dyDescent="0.25">
      <c r="A217" s="29">
        <f>IFERROR('WV 4.0'!A206, " ")</f>
        <v>0</v>
      </c>
      <c r="B217" s="29">
        <f>IFERROR('WV 4.0'!B206, " ")</f>
        <v>0</v>
      </c>
      <c r="C217" s="29">
        <f>IFERROR('WV 4.0'!C206, " ")</f>
        <v>0</v>
      </c>
      <c r="D217" s="29">
        <f>IFERROR('WV 4.0'!D206, " ")</f>
        <v>0</v>
      </c>
      <c r="E217" s="29">
        <f>IFERROR('WV 4.0'!E206, " ")</f>
        <v>0</v>
      </c>
      <c r="F217" s="27">
        <f>IFERROR(ROUND(HLOOKUP(Таблица5[[#Headers],[Цена КП]],'WV 4.0'!$A:$N,ROW('WV 4.0'!206:206),0),0),"")</f>
        <v>0</v>
      </c>
      <c r="G217" s="27">
        <f>IFERROR(Таблица5[[#This Row],[Цена КП]]*Таблица5[[#This Row],[Кол-во]],"")</f>
        <v>0</v>
      </c>
      <c r="H217" s="42">
        <f>IFERROR(HLOOKUP(Таблица5[[#Headers],[Комментарии]],'WV 4.0'!$A:$N,ROW('WV 4.0'!206:206),0),"")</f>
        <v>0</v>
      </c>
      <c r="I217" s="42">
        <f>IFERROR(HLOOKUP(Таблица5[[#Headers],[Срок поставки]],'WV 4.0'!$A:$N,ROW('WV 4.0'!206:206),0),"")</f>
        <v>0</v>
      </c>
      <c r="J217" s="27" t="str">
        <f>IFERROR(HLOOKUP(Таблица5[[#Headers],[Цена КазНИИСА]],'WV 4.0'!$A:$N,ROW('WV 4.0'!206:206),0),"")</f>
        <v/>
      </c>
      <c r="K217" s="27" t="str">
        <f>IFERROR(HLOOKUP(Таблица5[[#Headers],[Сумма КазНИИСА]],'WV 4.0'!$A:$N,ROW('WV 4.0'!206:206),0),"")</f>
        <v/>
      </c>
      <c r="L217" s="27">
        <f>IFERROR(HLOOKUP(Таблица5[[#Headers],[Код КазНИИСА]],'WV 4.0'!$A:$N,ROW('WV 4.0'!206:206),0),"")</f>
        <v>0</v>
      </c>
      <c r="M217" s="27" t="str">
        <f>IFERROR(HLOOKUP(Таблица5[[#Headers],[РРЦ в тнг]],'WV 4.0'!$A:$N,ROW('WV 4.0'!206:206),0),"")</f>
        <v/>
      </c>
      <c r="N217" s="27" t="str">
        <f>IFERROR(HLOOKUP(Таблица5[[#Headers],[Сумма РРЦ]],'WV 4.0'!$A:$N,ROW('WV 4.0'!206:206),0),"")</f>
        <v/>
      </c>
    </row>
    <row r="218" spans="1:14" x14ac:dyDescent="0.25">
      <c r="A218" s="29">
        <f>IFERROR('WV 4.0'!A207, " ")</f>
        <v>0</v>
      </c>
      <c r="B218" s="29">
        <f>IFERROR('WV 4.0'!B207, " ")</f>
        <v>0</v>
      </c>
      <c r="C218" s="29">
        <f>IFERROR('WV 4.0'!C207, " ")</f>
        <v>0</v>
      </c>
      <c r="D218" s="29">
        <f>IFERROR('WV 4.0'!D207, " ")</f>
        <v>0</v>
      </c>
      <c r="E218" s="29">
        <f>IFERROR('WV 4.0'!E207, " ")</f>
        <v>0</v>
      </c>
      <c r="F218" s="27">
        <f>IFERROR(ROUND(HLOOKUP(Таблица5[[#Headers],[Цена КП]],'WV 4.0'!$A:$N,ROW('WV 4.0'!207:207),0),0),"")</f>
        <v>0</v>
      </c>
      <c r="G218" s="27">
        <f>IFERROR(Таблица5[[#This Row],[Цена КП]]*Таблица5[[#This Row],[Кол-во]],"")</f>
        <v>0</v>
      </c>
      <c r="H218" s="42">
        <f>IFERROR(HLOOKUP(Таблица5[[#Headers],[Комментарии]],'WV 4.0'!$A:$N,ROW('WV 4.0'!207:207),0),"")</f>
        <v>0</v>
      </c>
      <c r="I218" s="42">
        <f>IFERROR(HLOOKUP(Таблица5[[#Headers],[Срок поставки]],'WV 4.0'!$A:$N,ROW('WV 4.0'!207:207),0),"")</f>
        <v>0</v>
      </c>
      <c r="J218" s="27" t="str">
        <f>IFERROR(HLOOKUP(Таблица5[[#Headers],[Цена КазНИИСА]],'WV 4.0'!$A:$N,ROW('WV 4.0'!207:207),0),"")</f>
        <v/>
      </c>
      <c r="K218" s="27" t="str">
        <f>IFERROR(HLOOKUP(Таблица5[[#Headers],[Сумма КазНИИСА]],'WV 4.0'!$A:$N,ROW('WV 4.0'!207:207),0),"")</f>
        <v/>
      </c>
      <c r="L218" s="27">
        <f>IFERROR(HLOOKUP(Таблица5[[#Headers],[Код КазНИИСА]],'WV 4.0'!$A:$N,ROW('WV 4.0'!207:207),0),"")</f>
        <v>0</v>
      </c>
      <c r="M218" s="27" t="str">
        <f>IFERROR(HLOOKUP(Таблица5[[#Headers],[РРЦ в тнг]],'WV 4.0'!$A:$N,ROW('WV 4.0'!207:207),0),"")</f>
        <v/>
      </c>
      <c r="N218" s="27" t="str">
        <f>IFERROR(HLOOKUP(Таблица5[[#Headers],[Сумма РРЦ]],'WV 4.0'!$A:$N,ROW('WV 4.0'!207:207),0),"")</f>
        <v/>
      </c>
    </row>
    <row r="219" spans="1:14" x14ac:dyDescent="0.25">
      <c r="A219" s="29">
        <f>IFERROR('WV 4.0'!A208, " ")</f>
        <v>0</v>
      </c>
      <c r="B219" s="29">
        <f>IFERROR('WV 4.0'!B208, " ")</f>
        <v>0</v>
      </c>
      <c r="C219" s="29">
        <f>IFERROR('WV 4.0'!C208, " ")</f>
        <v>0</v>
      </c>
      <c r="D219" s="29">
        <f>IFERROR('WV 4.0'!D208, " ")</f>
        <v>0</v>
      </c>
      <c r="E219" s="29">
        <f>IFERROR('WV 4.0'!E208, " ")</f>
        <v>0</v>
      </c>
      <c r="F219" s="27">
        <f>IFERROR(ROUND(HLOOKUP(Таблица5[[#Headers],[Цена КП]],'WV 4.0'!$A:$N,ROW('WV 4.0'!208:208),0),0),"")</f>
        <v>0</v>
      </c>
      <c r="G219" s="27">
        <f>IFERROR(Таблица5[[#This Row],[Цена КП]]*Таблица5[[#This Row],[Кол-во]],"")</f>
        <v>0</v>
      </c>
      <c r="H219" s="42">
        <f>IFERROR(HLOOKUP(Таблица5[[#Headers],[Комментарии]],'WV 4.0'!$A:$N,ROW('WV 4.0'!208:208),0),"")</f>
        <v>0</v>
      </c>
      <c r="I219" s="42">
        <f>IFERROR(HLOOKUP(Таблица5[[#Headers],[Срок поставки]],'WV 4.0'!$A:$N,ROW('WV 4.0'!208:208),0),"")</f>
        <v>0</v>
      </c>
      <c r="J219" s="27" t="str">
        <f>IFERROR(HLOOKUP(Таблица5[[#Headers],[Цена КазНИИСА]],'WV 4.0'!$A:$N,ROW('WV 4.0'!208:208),0),"")</f>
        <v/>
      </c>
      <c r="K219" s="27" t="str">
        <f>IFERROR(HLOOKUP(Таблица5[[#Headers],[Сумма КазНИИСА]],'WV 4.0'!$A:$N,ROW('WV 4.0'!208:208),0),"")</f>
        <v/>
      </c>
      <c r="L219" s="27">
        <f>IFERROR(HLOOKUP(Таблица5[[#Headers],[Код КазНИИСА]],'WV 4.0'!$A:$N,ROW('WV 4.0'!208:208),0),"")</f>
        <v>0</v>
      </c>
      <c r="M219" s="27" t="str">
        <f>IFERROR(HLOOKUP(Таблица5[[#Headers],[РРЦ в тнг]],'WV 4.0'!$A:$N,ROW('WV 4.0'!208:208),0),"")</f>
        <v/>
      </c>
      <c r="N219" s="27" t="str">
        <f>IFERROR(HLOOKUP(Таблица5[[#Headers],[Сумма РРЦ]],'WV 4.0'!$A:$N,ROW('WV 4.0'!208:208),0),"")</f>
        <v/>
      </c>
    </row>
    <row r="220" spans="1:14" x14ac:dyDescent="0.25">
      <c r="A220" s="29">
        <f>IFERROR('WV 4.0'!A209, " ")</f>
        <v>0</v>
      </c>
      <c r="B220" s="29">
        <f>IFERROR('WV 4.0'!B209, " ")</f>
        <v>0</v>
      </c>
      <c r="C220" s="29">
        <f>IFERROR('WV 4.0'!C209, " ")</f>
        <v>0</v>
      </c>
      <c r="D220" s="29">
        <f>IFERROR('WV 4.0'!D209, " ")</f>
        <v>0</v>
      </c>
      <c r="E220" s="29">
        <f>IFERROR('WV 4.0'!E209, " ")</f>
        <v>0</v>
      </c>
      <c r="F220" s="27">
        <f>IFERROR(ROUND(HLOOKUP(Таблица5[[#Headers],[Цена КП]],'WV 4.0'!$A:$N,ROW('WV 4.0'!209:209),0),0),"")</f>
        <v>0</v>
      </c>
      <c r="G220" s="27">
        <f>IFERROR(Таблица5[[#This Row],[Цена КП]]*Таблица5[[#This Row],[Кол-во]],"")</f>
        <v>0</v>
      </c>
      <c r="H220" s="42">
        <f>IFERROR(HLOOKUP(Таблица5[[#Headers],[Комментарии]],'WV 4.0'!$A:$N,ROW('WV 4.0'!209:209),0),"")</f>
        <v>0</v>
      </c>
      <c r="I220" s="42">
        <f>IFERROR(HLOOKUP(Таблица5[[#Headers],[Срок поставки]],'WV 4.0'!$A:$N,ROW('WV 4.0'!209:209),0),"")</f>
        <v>0</v>
      </c>
      <c r="J220" s="27" t="str">
        <f>IFERROR(HLOOKUP(Таблица5[[#Headers],[Цена КазНИИСА]],'WV 4.0'!$A:$N,ROW('WV 4.0'!209:209),0),"")</f>
        <v/>
      </c>
      <c r="K220" s="27" t="str">
        <f>IFERROR(HLOOKUP(Таблица5[[#Headers],[Сумма КазНИИСА]],'WV 4.0'!$A:$N,ROW('WV 4.0'!209:209),0),"")</f>
        <v/>
      </c>
      <c r="L220" s="27">
        <f>IFERROR(HLOOKUP(Таблица5[[#Headers],[Код КазНИИСА]],'WV 4.0'!$A:$N,ROW('WV 4.0'!209:209),0),"")</f>
        <v>0</v>
      </c>
      <c r="M220" s="27" t="str">
        <f>IFERROR(HLOOKUP(Таблица5[[#Headers],[РРЦ в тнг]],'WV 4.0'!$A:$N,ROW('WV 4.0'!209:209),0),"")</f>
        <v/>
      </c>
      <c r="N220" s="27" t="str">
        <f>IFERROR(HLOOKUP(Таблица5[[#Headers],[Сумма РРЦ]],'WV 4.0'!$A:$N,ROW('WV 4.0'!209:209),0),"")</f>
        <v/>
      </c>
    </row>
    <row r="221" spans="1:14" x14ac:dyDescent="0.25">
      <c r="A221" s="29">
        <f>IFERROR('WV 4.0'!A210, " ")</f>
        <v>0</v>
      </c>
      <c r="B221" s="29">
        <f>IFERROR('WV 4.0'!B210, " ")</f>
        <v>0</v>
      </c>
      <c r="C221" s="29">
        <f>IFERROR('WV 4.0'!C210, " ")</f>
        <v>0</v>
      </c>
      <c r="D221" s="29">
        <f>IFERROR('WV 4.0'!D210, " ")</f>
        <v>0</v>
      </c>
      <c r="E221" s="29">
        <f>IFERROR('WV 4.0'!E210, " ")</f>
        <v>0</v>
      </c>
      <c r="F221" s="27">
        <f>IFERROR(ROUND(HLOOKUP(Таблица5[[#Headers],[Цена КП]],'WV 4.0'!$A:$N,ROW('WV 4.0'!210:210),0),0),"")</f>
        <v>0</v>
      </c>
      <c r="G221" s="27">
        <f>IFERROR(Таблица5[[#This Row],[Цена КП]]*Таблица5[[#This Row],[Кол-во]],"")</f>
        <v>0</v>
      </c>
      <c r="H221" s="42">
        <f>IFERROR(HLOOKUP(Таблица5[[#Headers],[Комментарии]],'WV 4.0'!$A:$N,ROW('WV 4.0'!210:210),0),"")</f>
        <v>0</v>
      </c>
      <c r="I221" s="42">
        <f>IFERROR(HLOOKUP(Таблица5[[#Headers],[Срок поставки]],'WV 4.0'!$A:$N,ROW('WV 4.0'!210:210),0),"")</f>
        <v>0</v>
      </c>
      <c r="J221" s="27" t="str">
        <f>IFERROR(HLOOKUP(Таблица5[[#Headers],[Цена КазНИИСА]],'WV 4.0'!$A:$N,ROW('WV 4.0'!210:210),0),"")</f>
        <v/>
      </c>
      <c r="K221" s="27" t="str">
        <f>IFERROR(HLOOKUP(Таблица5[[#Headers],[Сумма КазНИИСА]],'WV 4.0'!$A:$N,ROW('WV 4.0'!210:210),0),"")</f>
        <v/>
      </c>
      <c r="L221" s="27">
        <f>IFERROR(HLOOKUP(Таблица5[[#Headers],[Код КазНИИСА]],'WV 4.0'!$A:$N,ROW('WV 4.0'!210:210),0),"")</f>
        <v>0</v>
      </c>
      <c r="M221" s="27" t="str">
        <f>IFERROR(HLOOKUP(Таблица5[[#Headers],[РРЦ в тнг]],'WV 4.0'!$A:$N,ROW('WV 4.0'!210:210),0),"")</f>
        <v/>
      </c>
      <c r="N221" s="27" t="str">
        <f>IFERROR(HLOOKUP(Таблица5[[#Headers],[Сумма РРЦ]],'WV 4.0'!$A:$N,ROW('WV 4.0'!210:210),0),"")</f>
        <v/>
      </c>
    </row>
    <row r="222" spans="1:14" x14ac:dyDescent="0.25">
      <c r="A222" s="29">
        <f>IFERROR('WV 4.0'!A211, " ")</f>
        <v>0</v>
      </c>
      <c r="B222" s="29">
        <f>IFERROR('WV 4.0'!B211, " ")</f>
        <v>0</v>
      </c>
      <c r="C222" s="29">
        <f>IFERROR('WV 4.0'!C211, " ")</f>
        <v>0</v>
      </c>
      <c r="D222" s="29">
        <f>IFERROR('WV 4.0'!D211, " ")</f>
        <v>0</v>
      </c>
      <c r="E222" s="29">
        <f>IFERROR('WV 4.0'!E211, " ")</f>
        <v>0</v>
      </c>
      <c r="F222" s="27">
        <f>IFERROR(ROUND(HLOOKUP(Таблица5[[#Headers],[Цена КП]],'WV 4.0'!$A:$N,ROW('WV 4.0'!211:211),0),0),"")</f>
        <v>0</v>
      </c>
      <c r="G222" s="27">
        <f>IFERROR(Таблица5[[#This Row],[Цена КП]]*Таблица5[[#This Row],[Кол-во]],"")</f>
        <v>0</v>
      </c>
      <c r="H222" s="42">
        <f>IFERROR(HLOOKUP(Таблица5[[#Headers],[Комментарии]],'WV 4.0'!$A:$N,ROW('WV 4.0'!211:211),0),"")</f>
        <v>0</v>
      </c>
      <c r="I222" s="42">
        <f>IFERROR(HLOOKUP(Таблица5[[#Headers],[Срок поставки]],'WV 4.0'!$A:$N,ROW('WV 4.0'!211:211),0),"")</f>
        <v>0</v>
      </c>
      <c r="J222" s="27" t="str">
        <f>IFERROR(HLOOKUP(Таблица5[[#Headers],[Цена КазНИИСА]],'WV 4.0'!$A:$N,ROW('WV 4.0'!211:211),0),"")</f>
        <v/>
      </c>
      <c r="K222" s="27" t="str">
        <f>IFERROR(HLOOKUP(Таблица5[[#Headers],[Сумма КазНИИСА]],'WV 4.0'!$A:$N,ROW('WV 4.0'!211:211),0),"")</f>
        <v/>
      </c>
      <c r="L222" s="27">
        <f>IFERROR(HLOOKUP(Таблица5[[#Headers],[Код КазНИИСА]],'WV 4.0'!$A:$N,ROW('WV 4.0'!211:211),0),"")</f>
        <v>0</v>
      </c>
      <c r="M222" s="27" t="str">
        <f>IFERROR(HLOOKUP(Таблица5[[#Headers],[РРЦ в тнг]],'WV 4.0'!$A:$N,ROW('WV 4.0'!211:211),0),"")</f>
        <v/>
      </c>
      <c r="N222" s="27" t="str">
        <f>IFERROR(HLOOKUP(Таблица5[[#Headers],[Сумма РРЦ]],'WV 4.0'!$A:$N,ROW('WV 4.0'!211:211),0),"")</f>
        <v/>
      </c>
    </row>
    <row r="223" spans="1:14" x14ac:dyDescent="0.25">
      <c r="A223" s="29">
        <f>IFERROR('WV 4.0'!A212, " ")</f>
        <v>0</v>
      </c>
      <c r="B223" s="29">
        <f>IFERROR('WV 4.0'!B212, " ")</f>
        <v>0</v>
      </c>
      <c r="C223" s="29">
        <f>IFERROR('WV 4.0'!C212, " ")</f>
        <v>0</v>
      </c>
      <c r="D223" s="29">
        <f>IFERROR('WV 4.0'!D212, " ")</f>
        <v>0</v>
      </c>
      <c r="E223" s="29">
        <f>IFERROR('WV 4.0'!E212, " ")</f>
        <v>0</v>
      </c>
      <c r="F223" s="27">
        <f>IFERROR(ROUND(HLOOKUP(Таблица5[[#Headers],[Цена КП]],'WV 4.0'!$A:$N,ROW('WV 4.0'!212:212),0),0),"")</f>
        <v>0</v>
      </c>
      <c r="G223" s="27">
        <f>IFERROR(Таблица5[[#This Row],[Цена КП]]*Таблица5[[#This Row],[Кол-во]],"")</f>
        <v>0</v>
      </c>
      <c r="H223" s="42">
        <f>IFERROR(HLOOKUP(Таблица5[[#Headers],[Комментарии]],'WV 4.0'!$A:$N,ROW('WV 4.0'!212:212),0),"")</f>
        <v>0</v>
      </c>
      <c r="I223" s="42">
        <f>IFERROR(HLOOKUP(Таблица5[[#Headers],[Срок поставки]],'WV 4.0'!$A:$N,ROW('WV 4.0'!212:212),0),"")</f>
        <v>0</v>
      </c>
      <c r="J223" s="27" t="str">
        <f>IFERROR(HLOOKUP(Таблица5[[#Headers],[Цена КазНИИСА]],'WV 4.0'!$A:$N,ROW('WV 4.0'!212:212),0),"")</f>
        <v/>
      </c>
      <c r="K223" s="27" t="str">
        <f>IFERROR(HLOOKUP(Таблица5[[#Headers],[Сумма КазНИИСА]],'WV 4.0'!$A:$N,ROW('WV 4.0'!212:212),0),"")</f>
        <v/>
      </c>
      <c r="L223" s="27">
        <f>IFERROR(HLOOKUP(Таблица5[[#Headers],[Код КазНИИСА]],'WV 4.0'!$A:$N,ROW('WV 4.0'!212:212),0),"")</f>
        <v>0</v>
      </c>
      <c r="M223" s="27" t="str">
        <f>IFERROR(HLOOKUP(Таблица5[[#Headers],[РРЦ в тнг]],'WV 4.0'!$A:$N,ROW('WV 4.0'!212:212),0),"")</f>
        <v/>
      </c>
      <c r="N223" s="27" t="str">
        <f>IFERROR(HLOOKUP(Таблица5[[#Headers],[Сумма РРЦ]],'WV 4.0'!$A:$N,ROW('WV 4.0'!212:212),0),"")</f>
        <v/>
      </c>
    </row>
    <row r="224" spans="1:14" x14ac:dyDescent="0.25">
      <c r="A224" s="29">
        <f>IFERROR('WV 4.0'!A213, " ")</f>
        <v>0</v>
      </c>
      <c r="B224" s="29">
        <f>IFERROR('WV 4.0'!B213, " ")</f>
        <v>0</v>
      </c>
      <c r="C224" s="29">
        <f>IFERROR('WV 4.0'!C213, " ")</f>
        <v>0</v>
      </c>
      <c r="D224" s="29">
        <f>IFERROR('WV 4.0'!D213, " ")</f>
        <v>0</v>
      </c>
      <c r="E224" s="29">
        <f>IFERROR('WV 4.0'!E213, " ")</f>
        <v>0</v>
      </c>
      <c r="F224" s="27">
        <f>IFERROR(ROUND(HLOOKUP(Таблица5[[#Headers],[Цена КП]],'WV 4.0'!$A:$N,ROW('WV 4.0'!213:213),0),0),"")</f>
        <v>0</v>
      </c>
      <c r="G224" s="27">
        <f>IFERROR(Таблица5[[#This Row],[Цена КП]]*Таблица5[[#This Row],[Кол-во]],"")</f>
        <v>0</v>
      </c>
      <c r="H224" s="42">
        <f>IFERROR(HLOOKUP(Таблица5[[#Headers],[Комментарии]],'WV 4.0'!$A:$N,ROW('WV 4.0'!213:213),0),"")</f>
        <v>0</v>
      </c>
      <c r="I224" s="42">
        <f>IFERROR(HLOOKUP(Таблица5[[#Headers],[Срок поставки]],'WV 4.0'!$A:$N,ROW('WV 4.0'!213:213),0),"")</f>
        <v>0</v>
      </c>
      <c r="J224" s="27" t="str">
        <f>IFERROR(HLOOKUP(Таблица5[[#Headers],[Цена КазНИИСА]],'WV 4.0'!$A:$N,ROW('WV 4.0'!213:213),0),"")</f>
        <v/>
      </c>
      <c r="K224" s="27" t="str">
        <f>IFERROR(HLOOKUP(Таблица5[[#Headers],[Сумма КазНИИСА]],'WV 4.0'!$A:$N,ROW('WV 4.0'!213:213),0),"")</f>
        <v/>
      </c>
      <c r="L224" s="27">
        <f>IFERROR(HLOOKUP(Таблица5[[#Headers],[Код КазНИИСА]],'WV 4.0'!$A:$N,ROW('WV 4.0'!213:213),0),"")</f>
        <v>0</v>
      </c>
      <c r="M224" s="27" t="str">
        <f>IFERROR(HLOOKUP(Таблица5[[#Headers],[РРЦ в тнг]],'WV 4.0'!$A:$N,ROW('WV 4.0'!213:213),0),"")</f>
        <v/>
      </c>
      <c r="N224" s="27" t="str">
        <f>IFERROR(HLOOKUP(Таблица5[[#Headers],[Сумма РРЦ]],'WV 4.0'!$A:$N,ROW('WV 4.0'!213:213),0),"")</f>
        <v/>
      </c>
    </row>
    <row r="225" spans="1:14" x14ac:dyDescent="0.25">
      <c r="A225" s="29">
        <f>IFERROR('WV 4.0'!A214, " ")</f>
        <v>0</v>
      </c>
      <c r="B225" s="29">
        <f>IFERROR('WV 4.0'!B214, " ")</f>
        <v>0</v>
      </c>
      <c r="C225" s="29">
        <f>IFERROR('WV 4.0'!C214, " ")</f>
        <v>0</v>
      </c>
      <c r="D225" s="29">
        <f>IFERROR('WV 4.0'!D214, " ")</f>
        <v>0</v>
      </c>
      <c r="E225" s="29">
        <f>IFERROR('WV 4.0'!E214, " ")</f>
        <v>0</v>
      </c>
      <c r="F225" s="27">
        <f>IFERROR(ROUND(HLOOKUP(Таблица5[[#Headers],[Цена КП]],'WV 4.0'!$A:$N,ROW('WV 4.0'!214:214),0),0),"")</f>
        <v>0</v>
      </c>
      <c r="G225" s="27">
        <f>IFERROR(Таблица5[[#This Row],[Цена КП]]*Таблица5[[#This Row],[Кол-во]],"")</f>
        <v>0</v>
      </c>
      <c r="H225" s="42">
        <f>IFERROR(HLOOKUP(Таблица5[[#Headers],[Комментарии]],'WV 4.0'!$A:$N,ROW('WV 4.0'!214:214),0),"")</f>
        <v>0</v>
      </c>
      <c r="I225" s="42">
        <f>IFERROR(HLOOKUP(Таблица5[[#Headers],[Срок поставки]],'WV 4.0'!$A:$N,ROW('WV 4.0'!214:214),0),"")</f>
        <v>0</v>
      </c>
      <c r="J225" s="27" t="str">
        <f>IFERROR(HLOOKUP(Таблица5[[#Headers],[Цена КазНИИСА]],'WV 4.0'!$A:$N,ROW('WV 4.0'!214:214),0),"")</f>
        <v/>
      </c>
      <c r="K225" s="27" t="str">
        <f>IFERROR(HLOOKUP(Таблица5[[#Headers],[Сумма КазНИИСА]],'WV 4.0'!$A:$N,ROW('WV 4.0'!214:214),0),"")</f>
        <v/>
      </c>
      <c r="L225" s="27">
        <f>IFERROR(HLOOKUP(Таблица5[[#Headers],[Код КазНИИСА]],'WV 4.0'!$A:$N,ROW('WV 4.0'!214:214),0),"")</f>
        <v>0</v>
      </c>
      <c r="M225" s="27" t="str">
        <f>IFERROR(HLOOKUP(Таблица5[[#Headers],[РРЦ в тнг]],'WV 4.0'!$A:$N,ROW('WV 4.0'!214:214),0),"")</f>
        <v/>
      </c>
      <c r="N225" s="27" t="str">
        <f>IFERROR(HLOOKUP(Таблица5[[#Headers],[Сумма РРЦ]],'WV 4.0'!$A:$N,ROW('WV 4.0'!214:214),0),"")</f>
        <v/>
      </c>
    </row>
    <row r="226" spans="1:14" x14ac:dyDescent="0.25">
      <c r="A226" s="29">
        <f>IFERROR('WV 4.0'!A215, " ")</f>
        <v>0</v>
      </c>
      <c r="B226" s="29">
        <f>IFERROR('WV 4.0'!B215, " ")</f>
        <v>0</v>
      </c>
      <c r="C226" s="29">
        <f>IFERROR('WV 4.0'!C215, " ")</f>
        <v>0</v>
      </c>
      <c r="D226" s="29">
        <f>IFERROR('WV 4.0'!D215, " ")</f>
        <v>0</v>
      </c>
      <c r="E226" s="29">
        <f>IFERROR('WV 4.0'!E215, " ")</f>
        <v>0</v>
      </c>
      <c r="F226" s="27">
        <f>IFERROR(ROUND(HLOOKUP(Таблица5[[#Headers],[Цена КП]],'WV 4.0'!$A:$N,ROW('WV 4.0'!215:215),0),0),"")</f>
        <v>0</v>
      </c>
      <c r="G226" s="27">
        <f>IFERROR(Таблица5[[#This Row],[Цена КП]]*Таблица5[[#This Row],[Кол-во]],"")</f>
        <v>0</v>
      </c>
      <c r="H226" s="42">
        <f>IFERROR(HLOOKUP(Таблица5[[#Headers],[Комментарии]],'WV 4.0'!$A:$N,ROW('WV 4.0'!215:215),0),"")</f>
        <v>0</v>
      </c>
      <c r="I226" s="42">
        <f>IFERROR(HLOOKUP(Таблица5[[#Headers],[Срок поставки]],'WV 4.0'!$A:$N,ROW('WV 4.0'!215:215),0),"")</f>
        <v>0</v>
      </c>
      <c r="J226" s="27" t="str">
        <f>IFERROR(HLOOKUP(Таблица5[[#Headers],[Цена КазНИИСА]],'WV 4.0'!$A:$N,ROW('WV 4.0'!215:215),0),"")</f>
        <v/>
      </c>
      <c r="K226" s="27" t="str">
        <f>IFERROR(HLOOKUP(Таблица5[[#Headers],[Сумма КазНИИСА]],'WV 4.0'!$A:$N,ROW('WV 4.0'!215:215),0),"")</f>
        <v/>
      </c>
      <c r="L226" s="27">
        <f>IFERROR(HLOOKUP(Таблица5[[#Headers],[Код КазНИИСА]],'WV 4.0'!$A:$N,ROW('WV 4.0'!215:215),0),"")</f>
        <v>0</v>
      </c>
      <c r="M226" s="27" t="str">
        <f>IFERROR(HLOOKUP(Таблица5[[#Headers],[РРЦ в тнг]],'WV 4.0'!$A:$N,ROW('WV 4.0'!215:215),0),"")</f>
        <v/>
      </c>
      <c r="N226" s="27" t="str">
        <f>IFERROR(HLOOKUP(Таблица5[[#Headers],[Сумма РРЦ]],'WV 4.0'!$A:$N,ROW('WV 4.0'!215:215),0),"")</f>
        <v/>
      </c>
    </row>
    <row r="227" spans="1:14" x14ac:dyDescent="0.25">
      <c r="A227" s="29">
        <f>IFERROR('WV 4.0'!A216, " ")</f>
        <v>0</v>
      </c>
      <c r="B227" s="29">
        <f>IFERROR('WV 4.0'!B216, " ")</f>
        <v>0</v>
      </c>
      <c r="C227" s="29">
        <f>IFERROR('WV 4.0'!C216, " ")</f>
        <v>0</v>
      </c>
      <c r="D227" s="29">
        <f>IFERROR('WV 4.0'!D216, " ")</f>
        <v>0</v>
      </c>
      <c r="E227" s="29">
        <f>IFERROR('WV 4.0'!E216, " ")</f>
        <v>0</v>
      </c>
      <c r="F227" s="27">
        <f>IFERROR(ROUND(HLOOKUP(Таблица5[[#Headers],[Цена КП]],'WV 4.0'!$A:$N,ROW('WV 4.0'!216:216),0),0),"")</f>
        <v>0</v>
      </c>
      <c r="G227" s="27">
        <f>IFERROR(Таблица5[[#This Row],[Цена КП]]*Таблица5[[#This Row],[Кол-во]],"")</f>
        <v>0</v>
      </c>
      <c r="H227" s="42">
        <f>IFERROR(HLOOKUP(Таблица5[[#Headers],[Комментарии]],'WV 4.0'!$A:$N,ROW('WV 4.0'!216:216),0),"")</f>
        <v>0</v>
      </c>
      <c r="I227" s="42">
        <f>IFERROR(HLOOKUP(Таблица5[[#Headers],[Срок поставки]],'WV 4.0'!$A:$N,ROW('WV 4.0'!216:216),0),"")</f>
        <v>0</v>
      </c>
      <c r="J227" s="27" t="str">
        <f>IFERROR(HLOOKUP(Таблица5[[#Headers],[Цена КазНИИСА]],'WV 4.0'!$A:$N,ROW('WV 4.0'!216:216),0),"")</f>
        <v/>
      </c>
      <c r="K227" s="27" t="str">
        <f>IFERROR(HLOOKUP(Таблица5[[#Headers],[Сумма КазНИИСА]],'WV 4.0'!$A:$N,ROW('WV 4.0'!216:216),0),"")</f>
        <v/>
      </c>
      <c r="L227" s="27">
        <f>IFERROR(HLOOKUP(Таблица5[[#Headers],[Код КазНИИСА]],'WV 4.0'!$A:$N,ROW('WV 4.0'!216:216),0),"")</f>
        <v>0</v>
      </c>
      <c r="M227" s="27" t="str">
        <f>IFERROR(HLOOKUP(Таблица5[[#Headers],[РРЦ в тнг]],'WV 4.0'!$A:$N,ROW('WV 4.0'!216:216),0),"")</f>
        <v/>
      </c>
      <c r="N227" s="27" t="str">
        <f>IFERROR(HLOOKUP(Таблица5[[#Headers],[Сумма РРЦ]],'WV 4.0'!$A:$N,ROW('WV 4.0'!216:216),0),"")</f>
        <v/>
      </c>
    </row>
    <row r="228" spans="1:14" x14ac:dyDescent="0.25">
      <c r="A228" s="29">
        <f>IFERROR('WV 4.0'!A217, " ")</f>
        <v>0</v>
      </c>
      <c r="B228" s="29">
        <f>IFERROR('WV 4.0'!B217, " ")</f>
        <v>0</v>
      </c>
      <c r="C228" s="29">
        <f>IFERROR('WV 4.0'!C217, " ")</f>
        <v>0</v>
      </c>
      <c r="D228" s="29">
        <f>IFERROR('WV 4.0'!D217, " ")</f>
        <v>0</v>
      </c>
      <c r="E228" s="29">
        <f>IFERROR('WV 4.0'!E217, " ")</f>
        <v>0</v>
      </c>
      <c r="F228" s="27">
        <f>IFERROR(ROUND(HLOOKUP(Таблица5[[#Headers],[Цена КП]],'WV 4.0'!$A:$N,ROW('WV 4.0'!217:217),0),0),"")</f>
        <v>0</v>
      </c>
      <c r="G228" s="27">
        <f>IFERROR(Таблица5[[#This Row],[Цена КП]]*Таблица5[[#This Row],[Кол-во]],"")</f>
        <v>0</v>
      </c>
      <c r="H228" s="42">
        <f>IFERROR(HLOOKUP(Таблица5[[#Headers],[Комментарии]],'WV 4.0'!$A:$N,ROW('WV 4.0'!217:217),0),"")</f>
        <v>0</v>
      </c>
      <c r="I228" s="42">
        <f>IFERROR(HLOOKUP(Таблица5[[#Headers],[Срок поставки]],'WV 4.0'!$A:$N,ROW('WV 4.0'!217:217),0),"")</f>
        <v>0</v>
      </c>
      <c r="J228" s="27" t="str">
        <f>IFERROR(HLOOKUP(Таблица5[[#Headers],[Цена КазНИИСА]],'WV 4.0'!$A:$N,ROW('WV 4.0'!217:217),0),"")</f>
        <v/>
      </c>
      <c r="K228" s="27" t="str">
        <f>IFERROR(HLOOKUP(Таблица5[[#Headers],[Сумма КазНИИСА]],'WV 4.0'!$A:$N,ROW('WV 4.0'!217:217),0),"")</f>
        <v/>
      </c>
      <c r="L228" s="27">
        <f>IFERROR(HLOOKUP(Таблица5[[#Headers],[Код КазНИИСА]],'WV 4.0'!$A:$N,ROW('WV 4.0'!217:217),0),"")</f>
        <v>0</v>
      </c>
      <c r="M228" s="27" t="str">
        <f>IFERROR(HLOOKUP(Таблица5[[#Headers],[РРЦ в тнг]],'WV 4.0'!$A:$N,ROW('WV 4.0'!217:217),0),"")</f>
        <v/>
      </c>
      <c r="N228" s="27" t="str">
        <f>IFERROR(HLOOKUP(Таблица5[[#Headers],[Сумма РРЦ]],'WV 4.0'!$A:$N,ROW('WV 4.0'!217:217),0),"")</f>
        <v/>
      </c>
    </row>
    <row r="229" spans="1:14" x14ac:dyDescent="0.25">
      <c r="A229" s="29">
        <f>IFERROR('WV 4.0'!A218, " ")</f>
        <v>0</v>
      </c>
      <c r="B229" s="29">
        <f>IFERROR('WV 4.0'!B218, " ")</f>
        <v>0</v>
      </c>
      <c r="C229" s="29">
        <f>IFERROR('WV 4.0'!C218, " ")</f>
        <v>0</v>
      </c>
      <c r="D229" s="29">
        <f>IFERROR('WV 4.0'!D218, " ")</f>
        <v>0</v>
      </c>
      <c r="E229" s="29">
        <f>IFERROR('WV 4.0'!E218, " ")</f>
        <v>0</v>
      </c>
      <c r="F229" s="27">
        <f>IFERROR(ROUND(HLOOKUP(Таблица5[[#Headers],[Цена КП]],'WV 4.0'!$A:$N,ROW('WV 4.0'!218:218),0),0),"")</f>
        <v>0</v>
      </c>
      <c r="G229" s="27">
        <f>IFERROR(Таблица5[[#This Row],[Цена КП]]*Таблица5[[#This Row],[Кол-во]],"")</f>
        <v>0</v>
      </c>
      <c r="H229" s="42">
        <f>IFERROR(HLOOKUP(Таблица5[[#Headers],[Комментарии]],'WV 4.0'!$A:$N,ROW('WV 4.0'!218:218),0),"")</f>
        <v>0</v>
      </c>
      <c r="I229" s="42">
        <f>IFERROR(HLOOKUP(Таблица5[[#Headers],[Срок поставки]],'WV 4.0'!$A:$N,ROW('WV 4.0'!218:218),0),"")</f>
        <v>0</v>
      </c>
      <c r="J229" s="27" t="str">
        <f>IFERROR(HLOOKUP(Таблица5[[#Headers],[Цена КазНИИСА]],'WV 4.0'!$A:$N,ROW('WV 4.0'!218:218),0),"")</f>
        <v/>
      </c>
      <c r="K229" s="27" t="str">
        <f>IFERROR(HLOOKUP(Таблица5[[#Headers],[Сумма КазНИИСА]],'WV 4.0'!$A:$N,ROW('WV 4.0'!218:218),0),"")</f>
        <v/>
      </c>
      <c r="L229" s="27">
        <f>IFERROR(HLOOKUP(Таблица5[[#Headers],[Код КазНИИСА]],'WV 4.0'!$A:$N,ROW('WV 4.0'!218:218),0),"")</f>
        <v>0</v>
      </c>
      <c r="M229" s="27" t="str">
        <f>IFERROR(HLOOKUP(Таблица5[[#Headers],[РРЦ в тнг]],'WV 4.0'!$A:$N,ROW('WV 4.0'!218:218),0),"")</f>
        <v/>
      </c>
      <c r="N229" s="27" t="str">
        <f>IFERROR(HLOOKUP(Таблица5[[#Headers],[Сумма РРЦ]],'WV 4.0'!$A:$N,ROW('WV 4.0'!218:218),0),"")</f>
        <v/>
      </c>
    </row>
    <row r="230" spans="1:14" x14ac:dyDescent="0.25">
      <c r="A230" s="29">
        <f>IFERROR('WV 4.0'!A219, " ")</f>
        <v>0</v>
      </c>
      <c r="B230" s="29">
        <f>IFERROR('WV 4.0'!B219, " ")</f>
        <v>0</v>
      </c>
      <c r="C230" s="29">
        <f>IFERROR('WV 4.0'!C219, " ")</f>
        <v>0</v>
      </c>
      <c r="D230" s="29">
        <f>IFERROR('WV 4.0'!D219, " ")</f>
        <v>0</v>
      </c>
      <c r="E230" s="29">
        <f>IFERROR('WV 4.0'!E219, " ")</f>
        <v>0</v>
      </c>
      <c r="F230" s="27">
        <f>IFERROR(ROUND(HLOOKUP(Таблица5[[#Headers],[Цена КП]],'WV 4.0'!$A:$N,ROW('WV 4.0'!219:219),0),0),"")</f>
        <v>0</v>
      </c>
      <c r="G230" s="27">
        <f>IFERROR(Таблица5[[#This Row],[Цена КП]]*Таблица5[[#This Row],[Кол-во]],"")</f>
        <v>0</v>
      </c>
      <c r="H230" s="42">
        <f>IFERROR(HLOOKUP(Таблица5[[#Headers],[Комментарии]],'WV 4.0'!$A:$N,ROW('WV 4.0'!219:219),0),"")</f>
        <v>0</v>
      </c>
      <c r="I230" s="42">
        <f>IFERROR(HLOOKUP(Таблица5[[#Headers],[Срок поставки]],'WV 4.0'!$A:$N,ROW('WV 4.0'!219:219),0),"")</f>
        <v>0</v>
      </c>
      <c r="J230" s="27" t="str">
        <f>IFERROR(HLOOKUP(Таблица5[[#Headers],[Цена КазНИИСА]],'WV 4.0'!$A:$N,ROW('WV 4.0'!219:219),0),"")</f>
        <v/>
      </c>
      <c r="K230" s="27" t="str">
        <f>IFERROR(HLOOKUP(Таблица5[[#Headers],[Сумма КазНИИСА]],'WV 4.0'!$A:$N,ROW('WV 4.0'!219:219),0),"")</f>
        <v/>
      </c>
      <c r="L230" s="27">
        <f>IFERROR(HLOOKUP(Таблица5[[#Headers],[Код КазНИИСА]],'WV 4.0'!$A:$N,ROW('WV 4.0'!219:219),0),"")</f>
        <v>0</v>
      </c>
      <c r="M230" s="27" t="str">
        <f>IFERROR(HLOOKUP(Таблица5[[#Headers],[РРЦ в тнг]],'WV 4.0'!$A:$N,ROW('WV 4.0'!219:219),0),"")</f>
        <v/>
      </c>
      <c r="N230" s="27" t="str">
        <f>IFERROR(HLOOKUP(Таблица5[[#Headers],[Сумма РРЦ]],'WV 4.0'!$A:$N,ROW('WV 4.0'!219:219),0),"")</f>
        <v/>
      </c>
    </row>
    <row r="231" spans="1:14" x14ac:dyDescent="0.25">
      <c r="A231" s="29">
        <f>IFERROR('WV 4.0'!A220, " ")</f>
        <v>0</v>
      </c>
      <c r="B231" s="29">
        <f>IFERROR('WV 4.0'!B220, " ")</f>
        <v>0</v>
      </c>
      <c r="C231" s="29">
        <f>IFERROR('WV 4.0'!C220, " ")</f>
        <v>0</v>
      </c>
      <c r="D231" s="29">
        <f>IFERROR('WV 4.0'!D220, " ")</f>
        <v>0</v>
      </c>
      <c r="E231" s="29">
        <f>IFERROR('WV 4.0'!E220, " ")</f>
        <v>0</v>
      </c>
      <c r="F231" s="27">
        <f>IFERROR(ROUND(HLOOKUP(Таблица5[[#Headers],[Цена КП]],'WV 4.0'!$A:$N,ROW('WV 4.0'!220:220),0),0),"")</f>
        <v>0</v>
      </c>
      <c r="G231" s="27">
        <f>IFERROR(Таблица5[[#This Row],[Цена КП]]*Таблица5[[#This Row],[Кол-во]],"")</f>
        <v>0</v>
      </c>
      <c r="H231" s="42">
        <f>IFERROR(HLOOKUP(Таблица5[[#Headers],[Комментарии]],'WV 4.0'!$A:$N,ROW('WV 4.0'!220:220),0),"")</f>
        <v>0</v>
      </c>
      <c r="I231" s="42">
        <f>IFERROR(HLOOKUP(Таблица5[[#Headers],[Срок поставки]],'WV 4.0'!$A:$N,ROW('WV 4.0'!220:220),0),"")</f>
        <v>0</v>
      </c>
      <c r="J231" s="27" t="str">
        <f>IFERROR(HLOOKUP(Таблица5[[#Headers],[Цена КазНИИСА]],'WV 4.0'!$A:$N,ROW('WV 4.0'!220:220),0),"")</f>
        <v/>
      </c>
      <c r="K231" s="27" t="str">
        <f>IFERROR(HLOOKUP(Таблица5[[#Headers],[Сумма КазНИИСА]],'WV 4.0'!$A:$N,ROW('WV 4.0'!220:220),0),"")</f>
        <v/>
      </c>
      <c r="L231" s="27">
        <f>IFERROR(HLOOKUP(Таблица5[[#Headers],[Код КазНИИСА]],'WV 4.0'!$A:$N,ROW('WV 4.0'!220:220),0),"")</f>
        <v>0</v>
      </c>
      <c r="M231" s="27" t="str">
        <f>IFERROR(HLOOKUP(Таблица5[[#Headers],[РРЦ в тнг]],'WV 4.0'!$A:$N,ROW('WV 4.0'!220:220),0),"")</f>
        <v/>
      </c>
      <c r="N231" s="27" t="str">
        <f>IFERROR(HLOOKUP(Таблица5[[#Headers],[Сумма РРЦ]],'WV 4.0'!$A:$N,ROW('WV 4.0'!220:220),0),"")</f>
        <v/>
      </c>
    </row>
    <row r="232" spans="1:14" x14ac:dyDescent="0.25">
      <c r="A232" s="29">
        <f>IFERROR('WV 4.0'!A221, " ")</f>
        <v>0</v>
      </c>
      <c r="B232" s="29">
        <f>IFERROR('WV 4.0'!B221, " ")</f>
        <v>0</v>
      </c>
      <c r="C232" s="29">
        <f>IFERROR('WV 4.0'!C221, " ")</f>
        <v>0</v>
      </c>
      <c r="D232" s="29">
        <f>IFERROR('WV 4.0'!D221, " ")</f>
        <v>0</v>
      </c>
      <c r="E232" s="29">
        <f>IFERROR('WV 4.0'!E221, " ")</f>
        <v>0</v>
      </c>
      <c r="F232" s="27">
        <f>IFERROR(ROUND(HLOOKUP(Таблица5[[#Headers],[Цена КП]],'WV 4.0'!$A:$N,ROW('WV 4.0'!221:221),0),0),"")</f>
        <v>0</v>
      </c>
      <c r="G232" s="27">
        <f>IFERROR(Таблица5[[#This Row],[Цена КП]]*Таблица5[[#This Row],[Кол-во]],"")</f>
        <v>0</v>
      </c>
      <c r="H232" s="42">
        <f>IFERROR(HLOOKUP(Таблица5[[#Headers],[Комментарии]],'WV 4.0'!$A:$N,ROW('WV 4.0'!221:221),0),"")</f>
        <v>0</v>
      </c>
      <c r="I232" s="42">
        <f>IFERROR(HLOOKUP(Таблица5[[#Headers],[Срок поставки]],'WV 4.0'!$A:$N,ROW('WV 4.0'!221:221),0),"")</f>
        <v>0</v>
      </c>
      <c r="J232" s="27" t="str">
        <f>IFERROR(HLOOKUP(Таблица5[[#Headers],[Цена КазНИИСА]],'WV 4.0'!$A:$N,ROW('WV 4.0'!221:221),0),"")</f>
        <v/>
      </c>
      <c r="K232" s="27" t="str">
        <f>IFERROR(HLOOKUP(Таблица5[[#Headers],[Сумма КазНИИСА]],'WV 4.0'!$A:$N,ROW('WV 4.0'!221:221),0),"")</f>
        <v/>
      </c>
      <c r="L232" s="27">
        <f>IFERROR(HLOOKUP(Таблица5[[#Headers],[Код КазНИИСА]],'WV 4.0'!$A:$N,ROW('WV 4.0'!221:221),0),"")</f>
        <v>0</v>
      </c>
      <c r="M232" s="27" t="str">
        <f>IFERROR(HLOOKUP(Таблица5[[#Headers],[РРЦ в тнг]],'WV 4.0'!$A:$N,ROW('WV 4.0'!221:221),0),"")</f>
        <v/>
      </c>
      <c r="N232" s="27" t="str">
        <f>IFERROR(HLOOKUP(Таблица5[[#Headers],[Сумма РРЦ]],'WV 4.0'!$A:$N,ROW('WV 4.0'!221:221),0),"")</f>
        <v/>
      </c>
    </row>
    <row r="233" spans="1:14" x14ac:dyDescent="0.25">
      <c r="A233" s="29">
        <f>IFERROR('WV 4.0'!A222, " ")</f>
        <v>0</v>
      </c>
      <c r="B233" s="29">
        <f>IFERROR('WV 4.0'!B222, " ")</f>
        <v>0</v>
      </c>
      <c r="C233" s="29">
        <f>IFERROR('WV 4.0'!C222, " ")</f>
        <v>0</v>
      </c>
      <c r="D233" s="29">
        <f>IFERROR('WV 4.0'!D222, " ")</f>
        <v>0</v>
      </c>
      <c r="E233" s="29">
        <f>IFERROR('WV 4.0'!E222, " ")</f>
        <v>0</v>
      </c>
      <c r="F233" s="27">
        <f>IFERROR(ROUND(HLOOKUP(Таблица5[[#Headers],[Цена КП]],'WV 4.0'!$A:$N,ROW('WV 4.0'!222:222),0),0),"")</f>
        <v>0</v>
      </c>
      <c r="G233" s="27">
        <f>IFERROR(Таблица5[[#This Row],[Цена КП]]*Таблица5[[#This Row],[Кол-во]],"")</f>
        <v>0</v>
      </c>
      <c r="H233" s="42">
        <f>IFERROR(HLOOKUP(Таблица5[[#Headers],[Комментарии]],'WV 4.0'!$A:$N,ROW('WV 4.0'!222:222),0),"")</f>
        <v>0</v>
      </c>
      <c r="I233" s="42">
        <f>IFERROR(HLOOKUP(Таблица5[[#Headers],[Срок поставки]],'WV 4.0'!$A:$N,ROW('WV 4.0'!222:222),0),"")</f>
        <v>0</v>
      </c>
      <c r="J233" s="27" t="str">
        <f>IFERROR(HLOOKUP(Таблица5[[#Headers],[Цена КазНИИСА]],'WV 4.0'!$A:$N,ROW('WV 4.0'!222:222),0),"")</f>
        <v/>
      </c>
      <c r="K233" s="27" t="str">
        <f>IFERROR(HLOOKUP(Таблица5[[#Headers],[Сумма КазНИИСА]],'WV 4.0'!$A:$N,ROW('WV 4.0'!222:222),0),"")</f>
        <v/>
      </c>
      <c r="L233" s="27">
        <f>IFERROR(HLOOKUP(Таблица5[[#Headers],[Код КазНИИСА]],'WV 4.0'!$A:$N,ROW('WV 4.0'!222:222),0),"")</f>
        <v>0</v>
      </c>
      <c r="M233" s="27" t="str">
        <f>IFERROR(HLOOKUP(Таблица5[[#Headers],[РРЦ в тнг]],'WV 4.0'!$A:$N,ROW('WV 4.0'!222:222),0),"")</f>
        <v/>
      </c>
      <c r="N233" s="27" t="str">
        <f>IFERROR(HLOOKUP(Таблица5[[#Headers],[Сумма РРЦ]],'WV 4.0'!$A:$N,ROW('WV 4.0'!222:222),0),"")</f>
        <v/>
      </c>
    </row>
    <row r="234" spans="1:14" x14ac:dyDescent="0.25">
      <c r="A234" s="29">
        <f>IFERROR('WV 4.0'!A223, " ")</f>
        <v>0</v>
      </c>
      <c r="B234" s="29">
        <f>IFERROR('WV 4.0'!B223, " ")</f>
        <v>0</v>
      </c>
      <c r="C234" s="29">
        <f>IFERROR('WV 4.0'!C223, " ")</f>
        <v>0</v>
      </c>
      <c r="D234" s="29">
        <f>IFERROR('WV 4.0'!D223, " ")</f>
        <v>0</v>
      </c>
      <c r="E234" s="29">
        <f>IFERROR('WV 4.0'!E223, " ")</f>
        <v>0</v>
      </c>
      <c r="F234" s="27">
        <f>IFERROR(ROUND(HLOOKUP(Таблица5[[#Headers],[Цена КП]],'WV 4.0'!$A:$N,ROW('WV 4.0'!223:223),0),0),"")</f>
        <v>0</v>
      </c>
      <c r="G234" s="27">
        <f>IFERROR(Таблица5[[#This Row],[Цена КП]]*Таблица5[[#This Row],[Кол-во]],"")</f>
        <v>0</v>
      </c>
      <c r="H234" s="42">
        <f>IFERROR(HLOOKUP(Таблица5[[#Headers],[Комментарии]],'WV 4.0'!$A:$N,ROW('WV 4.0'!223:223),0),"")</f>
        <v>0</v>
      </c>
      <c r="I234" s="42">
        <f>IFERROR(HLOOKUP(Таблица5[[#Headers],[Срок поставки]],'WV 4.0'!$A:$N,ROW('WV 4.0'!223:223),0),"")</f>
        <v>0</v>
      </c>
      <c r="J234" s="27" t="str">
        <f>IFERROR(HLOOKUP(Таблица5[[#Headers],[Цена КазНИИСА]],'WV 4.0'!$A:$N,ROW('WV 4.0'!223:223),0),"")</f>
        <v/>
      </c>
      <c r="K234" s="27" t="str">
        <f>IFERROR(HLOOKUP(Таблица5[[#Headers],[Сумма КазНИИСА]],'WV 4.0'!$A:$N,ROW('WV 4.0'!223:223),0),"")</f>
        <v/>
      </c>
      <c r="L234" s="27">
        <f>IFERROR(HLOOKUP(Таблица5[[#Headers],[Код КазНИИСА]],'WV 4.0'!$A:$N,ROW('WV 4.0'!223:223),0),"")</f>
        <v>0</v>
      </c>
      <c r="M234" s="27" t="str">
        <f>IFERROR(HLOOKUP(Таблица5[[#Headers],[РРЦ в тнг]],'WV 4.0'!$A:$N,ROW('WV 4.0'!223:223),0),"")</f>
        <v/>
      </c>
      <c r="N234" s="27" t="str">
        <f>IFERROR(HLOOKUP(Таблица5[[#Headers],[Сумма РРЦ]],'WV 4.0'!$A:$N,ROW('WV 4.0'!223:223),0),"")</f>
        <v/>
      </c>
    </row>
    <row r="235" spans="1:14" x14ac:dyDescent="0.25">
      <c r="A235" s="29">
        <f>IFERROR('WV 4.0'!A224, " ")</f>
        <v>0</v>
      </c>
      <c r="B235" s="29">
        <f>IFERROR('WV 4.0'!B224, " ")</f>
        <v>0</v>
      </c>
      <c r="C235" s="29">
        <f>IFERROR('WV 4.0'!C224, " ")</f>
        <v>0</v>
      </c>
      <c r="D235" s="29">
        <f>IFERROR('WV 4.0'!D224, " ")</f>
        <v>0</v>
      </c>
      <c r="E235" s="29">
        <f>IFERROR('WV 4.0'!E224, " ")</f>
        <v>0</v>
      </c>
      <c r="F235" s="27">
        <f>IFERROR(ROUND(HLOOKUP(Таблица5[[#Headers],[Цена КП]],'WV 4.0'!$A:$N,ROW('WV 4.0'!224:224),0),0),"")</f>
        <v>0</v>
      </c>
      <c r="G235" s="27">
        <f>IFERROR(Таблица5[[#This Row],[Цена КП]]*Таблица5[[#This Row],[Кол-во]],"")</f>
        <v>0</v>
      </c>
      <c r="H235" s="42">
        <f>IFERROR(HLOOKUP(Таблица5[[#Headers],[Комментарии]],'WV 4.0'!$A:$N,ROW('WV 4.0'!224:224),0),"")</f>
        <v>0</v>
      </c>
      <c r="I235" s="42">
        <f>IFERROR(HLOOKUP(Таблица5[[#Headers],[Срок поставки]],'WV 4.0'!$A:$N,ROW('WV 4.0'!224:224),0),"")</f>
        <v>0</v>
      </c>
      <c r="J235" s="27" t="str">
        <f>IFERROR(HLOOKUP(Таблица5[[#Headers],[Цена КазНИИСА]],'WV 4.0'!$A:$N,ROW('WV 4.0'!224:224),0),"")</f>
        <v/>
      </c>
      <c r="K235" s="27" t="str">
        <f>IFERROR(HLOOKUP(Таблица5[[#Headers],[Сумма КазНИИСА]],'WV 4.0'!$A:$N,ROW('WV 4.0'!224:224),0),"")</f>
        <v/>
      </c>
      <c r="L235" s="27">
        <f>IFERROR(HLOOKUP(Таблица5[[#Headers],[Код КазНИИСА]],'WV 4.0'!$A:$N,ROW('WV 4.0'!224:224),0),"")</f>
        <v>0</v>
      </c>
      <c r="M235" s="27" t="str">
        <f>IFERROR(HLOOKUP(Таблица5[[#Headers],[РРЦ в тнг]],'WV 4.0'!$A:$N,ROW('WV 4.0'!224:224),0),"")</f>
        <v/>
      </c>
      <c r="N235" s="27" t="str">
        <f>IFERROR(HLOOKUP(Таблица5[[#Headers],[Сумма РРЦ]],'WV 4.0'!$A:$N,ROW('WV 4.0'!224:224),0),"")</f>
        <v/>
      </c>
    </row>
    <row r="236" spans="1:14" x14ac:dyDescent="0.25">
      <c r="A236" s="29">
        <f>IFERROR('WV 4.0'!A225, " ")</f>
        <v>0</v>
      </c>
      <c r="B236" s="29">
        <f>IFERROR('WV 4.0'!B225, " ")</f>
        <v>0</v>
      </c>
      <c r="C236" s="29">
        <f>IFERROR('WV 4.0'!C225, " ")</f>
        <v>0</v>
      </c>
      <c r="D236" s="29">
        <f>IFERROR('WV 4.0'!D225, " ")</f>
        <v>0</v>
      </c>
      <c r="E236" s="29">
        <f>IFERROR('WV 4.0'!E225, " ")</f>
        <v>0</v>
      </c>
      <c r="F236" s="27">
        <f>IFERROR(ROUND(HLOOKUP(Таблица5[[#Headers],[Цена КП]],'WV 4.0'!$A:$N,ROW('WV 4.0'!225:225),0),0),"")</f>
        <v>0</v>
      </c>
      <c r="G236" s="27">
        <f>IFERROR(Таблица5[[#This Row],[Цена КП]]*Таблица5[[#This Row],[Кол-во]],"")</f>
        <v>0</v>
      </c>
      <c r="H236" s="42">
        <f>IFERROR(HLOOKUP(Таблица5[[#Headers],[Комментарии]],'WV 4.0'!$A:$N,ROW('WV 4.0'!225:225),0),"")</f>
        <v>0</v>
      </c>
      <c r="I236" s="42">
        <f>IFERROR(HLOOKUP(Таблица5[[#Headers],[Срок поставки]],'WV 4.0'!$A:$N,ROW('WV 4.0'!225:225),0),"")</f>
        <v>0</v>
      </c>
      <c r="J236" s="27" t="str">
        <f>IFERROR(HLOOKUP(Таблица5[[#Headers],[Цена КазНИИСА]],'WV 4.0'!$A:$N,ROW('WV 4.0'!225:225),0),"")</f>
        <v/>
      </c>
      <c r="K236" s="27" t="str">
        <f>IFERROR(HLOOKUP(Таблица5[[#Headers],[Сумма КазНИИСА]],'WV 4.0'!$A:$N,ROW('WV 4.0'!225:225),0),"")</f>
        <v/>
      </c>
      <c r="L236" s="27">
        <f>IFERROR(HLOOKUP(Таблица5[[#Headers],[Код КазНИИСА]],'WV 4.0'!$A:$N,ROW('WV 4.0'!225:225),0),"")</f>
        <v>0</v>
      </c>
      <c r="M236" s="27" t="str">
        <f>IFERROR(HLOOKUP(Таблица5[[#Headers],[РРЦ в тнг]],'WV 4.0'!$A:$N,ROW('WV 4.0'!225:225),0),"")</f>
        <v/>
      </c>
      <c r="N236" s="27" t="str">
        <f>IFERROR(HLOOKUP(Таблица5[[#Headers],[Сумма РРЦ]],'WV 4.0'!$A:$N,ROW('WV 4.0'!225:225),0),"")</f>
        <v/>
      </c>
    </row>
    <row r="237" spans="1:14" x14ac:dyDescent="0.25">
      <c r="A237" s="29">
        <f>IFERROR('WV 4.0'!A226, " ")</f>
        <v>0</v>
      </c>
      <c r="B237" s="29">
        <f>IFERROR('WV 4.0'!B226, " ")</f>
        <v>0</v>
      </c>
      <c r="C237" s="29">
        <f>IFERROR('WV 4.0'!C226, " ")</f>
        <v>0</v>
      </c>
      <c r="D237" s="29">
        <f>IFERROR('WV 4.0'!D226, " ")</f>
        <v>0</v>
      </c>
      <c r="E237" s="29">
        <f>IFERROR('WV 4.0'!E226, " ")</f>
        <v>0</v>
      </c>
      <c r="F237" s="27">
        <f>IFERROR(ROUND(HLOOKUP(Таблица5[[#Headers],[Цена КП]],'WV 4.0'!$A:$N,ROW('WV 4.0'!226:226),0),0),"")</f>
        <v>0</v>
      </c>
      <c r="G237" s="27">
        <f>IFERROR(Таблица5[[#This Row],[Цена КП]]*Таблица5[[#This Row],[Кол-во]],"")</f>
        <v>0</v>
      </c>
      <c r="H237" s="42">
        <f>IFERROR(HLOOKUP(Таблица5[[#Headers],[Комментарии]],'WV 4.0'!$A:$N,ROW('WV 4.0'!226:226),0),"")</f>
        <v>0</v>
      </c>
      <c r="I237" s="42">
        <f>IFERROR(HLOOKUP(Таблица5[[#Headers],[Срок поставки]],'WV 4.0'!$A:$N,ROW('WV 4.0'!226:226),0),"")</f>
        <v>0</v>
      </c>
      <c r="J237" s="27" t="str">
        <f>IFERROR(HLOOKUP(Таблица5[[#Headers],[Цена КазНИИСА]],'WV 4.0'!$A:$N,ROW('WV 4.0'!226:226),0),"")</f>
        <v/>
      </c>
      <c r="K237" s="27" t="str">
        <f>IFERROR(HLOOKUP(Таблица5[[#Headers],[Сумма КазНИИСА]],'WV 4.0'!$A:$N,ROW('WV 4.0'!226:226),0),"")</f>
        <v/>
      </c>
      <c r="L237" s="27">
        <f>IFERROR(HLOOKUP(Таблица5[[#Headers],[Код КазНИИСА]],'WV 4.0'!$A:$N,ROW('WV 4.0'!226:226),0),"")</f>
        <v>0</v>
      </c>
      <c r="M237" s="27" t="str">
        <f>IFERROR(HLOOKUP(Таблица5[[#Headers],[РРЦ в тнг]],'WV 4.0'!$A:$N,ROW('WV 4.0'!226:226),0),"")</f>
        <v/>
      </c>
      <c r="N237" s="27" t="str">
        <f>IFERROR(HLOOKUP(Таблица5[[#Headers],[Сумма РРЦ]],'WV 4.0'!$A:$N,ROW('WV 4.0'!226:226),0),"")</f>
        <v/>
      </c>
    </row>
    <row r="238" spans="1:14" x14ac:dyDescent="0.25">
      <c r="A238" s="29">
        <f>IFERROR('WV 4.0'!A227, " ")</f>
        <v>0</v>
      </c>
      <c r="B238" s="29">
        <f>IFERROR('WV 4.0'!B227, " ")</f>
        <v>0</v>
      </c>
      <c r="C238" s="29">
        <f>IFERROR('WV 4.0'!C227, " ")</f>
        <v>0</v>
      </c>
      <c r="D238" s="29">
        <f>IFERROR('WV 4.0'!D227, " ")</f>
        <v>0</v>
      </c>
      <c r="E238" s="29">
        <f>IFERROR('WV 4.0'!E227, " ")</f>
        <v>0</v>
      </c>
      <c r="F238" s="27">
        <f>IFERROR(ROUND(HLOOKUP(Таблица5[[#Headers],[Цена КП]],'WV 4.0'!$A:$N,ROW('WV 4.0'!227:227),0),0),"")</f>
        <v>0</v>
      </c>
      <c r="G238" s="27">
        <f>IFERROR(Таблица5[[#This Row],[Цена КП]]*Таблица5[[#This Row],[Кол-во]],"")</f>
        <v>0</v>
      </c>
      <c r="H238" s="42">
        <f>IFERROR(HLOOKUP(Таблица5[[#Headers],[Комментарии]],'WV 4.0'!$A:$N,ROW('WV 4.0'!227:227),0),"")</f>
        <v>0</v>
      </c>
      <c r="I238" s="42">
        <f>IFERROR(HLOOKUP(Таблица5[[#Headers],[Срок поставки]],'WV 4.0'!$A:$N,ROW('WV 4.0'!227:227),0),"")</f>
        <v>0</v>
      </c>
      <c r="J238" s="27" t="str">
        <f>IFERROR(HLOOKUP(Таблица5[[#Headers],[Цена КазНИИСА]],'WV 4.0'!$A:$N,ROW('WV 4.0'!227:227),0),"")</f>
        <v/>
      </c>
      <c r="K238" s="27" t="str">
        <f>IFERROR(HLOOKUP(Таблица5[[#Headers],[Сумма КазНИИСА]],'WV 4.0'!$A:$N,ROW('WV 4.0'!227:227),0),"")</f>
        <v/>
      </c>
      <c r="L238" s="27">
        <f>IFERROR(HLOOKUP(Таблица5[[#Headers],[Код КазНИИСА]],'WV 4.0'!$A:$N,ROW('WV 4.0'!227:227),0),"")</f>
        <v>0</v>
      </c>
      <c r="M238" s="27" t="str">
        <f>IFERROR(HLOOKUP(Таблица5[[#Headers],[РРЦ в тнг]],'WV 4.0'!$A:$N,ROW('WV 4.0'!227:227),0),"")</f>
        <v/>
      </c>
      <c r="N238" s="27" t="str">
        <f>IFERROR(HLOOKUP(Таблица5[[#Headers],[Сумма РРЦ]],'WV 4.0'!$A:$N,ROW('WV 4.0'!227:227),0),"")</f>
        <v/>
      </c>
    </row>
    <row r="239" spans="1:14" x14ac:dyDescent="0.25">
      <c r="A239" s="29">
        <f>IFERROR('WV 4.0'!A228, " ")</f>
        <v>0</v>
      </c>
      <c r="B239" s="29">
        <f>IFERROR('WV 4.0'!B228, " ")</f>
        <v>0</v>
      </c>
      <c r="C239" s="29">
        <f>IFERROR('WV 4.0'!C228, " ")</f>
        <v>0</v>
      </c>
      <c r="D239" s="29">
        <f>IFERROR('WV 4.0'!D228, " ")</f>
        <v>0</v>
      </c>
      <c r="E239" s="29">
        <f>IFERROR('WV 4.0'!E228, " ")</f>
        <v>0</v>
      </c>
      <c r="F239" s="27">
        <f>IFERROR(ROUND(HLOOKUP(Таблица5[[#Headers],[Цена КП]],'WV 4.0'!$A:$N,ROW('WV 4.0'!228:228),0),0),"")</f>
        <v>0</v>
      </c>
      <c r="G239" s="27">
        <f>IFERROR(Таблица5[[#This Row],[Цена КП]]*Таблица5[[#This Row],[Кол-во]],"")</f>
        <v>0</v>
      </c>
      <c r="H239" s="42">
        <f>IFERROR(HLOOKUP(Таблица5[[#Headers],[Комментарии]],'WV 4.0'!$A:$N,ROW('WV 4.0'!228:228),0),"")</f>
        <v>0</v>
      </c>
      <c r="I239" s="42">
        <f>IFERROR(HLOOKUP(Таблица5[[#Headers],[Срок поставки]],'WV 4.0'!$A:$N,ROW('WV 4.0'!228:228),0),"")</f>
        <v>0</v>
      </c>
      <c r="J239" s="27" t="str">
        <f>IFERROR(HLOOKUP(Таблица5[[#Headers],[Цена КазНИИСА]],'WV 4.0'!$A:$N,ROW('WV 4.0'!228:228),0),"")</f>
        <v/>
      </c>
      <c r="K239" s="27" t="str">
        <f>IFERROR(HLOOKUP(Таблица5[[#Headers],[Сумма КазНИИСА]],'WV 4.0'!$A:$N,ROW('WV 4.0'!228:228),0),"")</f>
        <v/>
      </c>
      <c r="L239" s="27">
        <f>IFERROR(HLOOKUP(Таблица5[[#Headers],[Код КазНИИСА]],'WV 4.0'!$A:$N,ROW('WV 4.0'!228:228),0),"")</f>
        <v>0</v>
      </c>
      <c r="M239" s="27" t="str">
        <f>IFERROR(HLOOKUP(Таблица5[[#Headers],[РРЦ в тнг]],'WV 4.0'!$A:$N,ROW('WV 4.0'!228:228),0),"")</f>
        <v/>
      </c>
      <c r="N239" s="27" t="str">
        <f>IFERROR(HLOOKUP(Таблица5[[#Headers],[Сумма РРЦ]],'WV 4.0'!$A:$N,ROW('WV 4.0'!228:228),0),"")</f>
        <v/>
      </c>
    </row>
    <row r="240" spans="1:14" x14ac:dyDescent="0.25">
      <c r="A240" s="29">
        <f>IFERROR('WV 4.0'!A229, " ")</f>
        <v>0</v>
      </c>
      <c r="B240" s="29">
        <f>IFERROR('WV 4.0'!B229, " ")</f>
        <v>0</v>
      </c>
      <c r="C240" s="29">
        <f>IFERROR('WV 4.0'!C229, " ")</f>
        <v>0</v>
      </c>
      <c r="D240" s="29">
        <f>IFERROR('WV 4.0'!D229, " ")</f>
        <v>0</v>
      </c>
      <c r="E240" s="29">
        <f>IFERROR('WV 4.0'!E229, " ")</f>
        <v>0</v>
      </c>
      <c r="F240" s="27">
        <f>IFERROR(ROUND(HLOOKUP(Таблица5[[#Headers],[Цена КП]],'WV 4.0'!$A:$N,ROW('WV 4.0'!229:229),0),0),"")</f>
        <v>0</v>
      </c>
      <c r="G240" s="27">
        <f>IFERROR(Таблица5[[#This Row],[Цена КП]]*Таблица5[[#This Row],[Кол-во]],"")</f>
        <v>0</v>
      </c>
      <c r="H240" s="42">
        <f>IFERROR(HLOOKUP(Таблица5[[#Headers],[Комментарии]],'WV 4.0'!$A:$N,ROW('WV 4.0'!229:229),0),"")</f>
        <v>0</v>
      </c>
      <c r="I240" s="42">
        <f>IFERROR(HLOOKUP(Таблица5[[#Headers],[Срок поставки]],'WV 4.0'!$A:$N,ROW('WV 4.0'!229:229),0),"")</f>
        <v>0</v>
      </c>
      <c r="J240" s="27" t="str">
        <f>IFERROR(HLOOKUP(Таблица5[[#Headers],[Цена КазНИИСА]],'WV 4.0'!$A:$N,ROW('WV 4.0'!229:229),0),"")</f>
        <v/>
      </c>
      <c r="K240" s="27" t="str">
        <f>IFERROR(HLOOKUP(Таблица5[[#Headers],[Сумма КазНИИСА]],'WV 4.0'!$A:$N,ROW('WV 4.0'!229:229),0),"")</f>
        <v/>
      </c>
      <c r="L240" s="27">
        <f>IFERROR(HLOOKUP(Таблица5[[#Headers],[Код КазНИИСА]],'WV 4.0'!$A:$N,ROW('WV 4.0'!229:229),0),"")</f>
        <v>0</v>
      </c>
      <c r="M240" s="27" t="str">
        <f>IFERROR(HLOOKUP(Таблица5[[#Headers],[РРЦ в тнг]],'WV 4.0'!$A:$N,ROW('WV 4.0'!229:229),0),"")</f>
        <v/>
      </c>
      <c r="N240" s="27" t="str">
        <f>IFERROR(HLOOKUP(Таблица5[[#Headers],[Сумма РРЦ]],'WV 4.0'!$A:$N,ROW('WV 4.0'!229:229),0),"")</f>
        <v/>
      </c>
    </row>
    <row r="241" spans="1:14" x14ac:dyDescent="0.25">
      <c r="A241" s="29">
        <f>IFERROR('WV 4.0'!A230, " ")</f>
        <v>0</v>
      </c>
      <c r="B241" s="29">
        <f>IFERROR('WV 4.0'!B230, " ")</f>
        <v>0</v>
      </c>
      <c r="C241" s="29">
        <f>IFERROR('WV 4.0'!C230, " ")</f>
        <v>0</v>
      </c>
      <c r="D241" s="29">
        <f>IFERROR('WV 4.0'!D230, " ")</f>
        <v>0</v>
      </c>
      <c r="E241" s="29">
        <f>IFERROR('WV 4.0'!E230, " ")</f>
        <v>0</v>
      </c>
      <c r="F241" s="27">
        <f>IFERROR(ROUND(HLOOKUP(Таблица5[[#Headers],[Цена КП]],'WV 4.0'!$A:$N,ROW('WV 4.0'!230:230),0),0),"")</f>
        <v>0</v>
      </c>
      <c r="G241" s="27">
        <f>IFERROR(Таблица5[[#This Row],[Цена КП]]*Таблица5[[#This Row],[Кол-во]],"")</f>
        <v>0</v>
      </c>
      <c r="H241" s="42">
        <f>IFERROR(HLOOKUP(Таблица5[[#Headers],[Комментарии]],'WV 4.0'!$A:$N,ROW('WV 4.0'!230:230),0),"")</f>
        <v>0</v>
      </c>
      <c r="I241" s="42">
        <f>IFERROR(HLOOKUP(Таблица5[[#Headers],[Срок поставки]],'WV 4.0'!$A:$N,ROW('WV 4.0'!230:230),0),"")</f>
        <v>0</v>
      </c>
      <c r="J241" s="27" t="str">
        <f>IFERROR(HLOOKUP(Таблица5[[#Headers],[Цена КазНИИСА]],'WV 4.0'!$A:$N,ROW('WV 4.0'!230:230),0),"")</f>
        <v/>
      </c>
      <c r="K241" s="27" t="str">
        <f>IFERROR(HLOOKUP(Таблица5[[#Headers],[Сумма КазНИИСА]],'WV 4.0'!$A:$N,ROW('WV 4.0'!230:230),0),"")</f>
        <v/>
      </c>
      <c r="L241" s="27">
        <f>IFERROR(HLOOKUP(Таблица5[[#Headers],[Код КазНИИСА]],'WV 4.0'!$A:$N,ROW('WV 4.0'!230:230),0),"")</f>
        <v>0</v>
      </c>
      <c r="M241" s="27" t="str">
        <f>IFERROR(HLOOKUP(Таблица5[[#Headers],[РРЦ в тнг]],'WV 4.0'!$A:$N,ROW('WV 4.0'!230:230),0),"")</f>
        <v/>
      </c>
      <c r="N241" s="27" t="str">
        <f>IFERROR(HLOOKUP(Таблица5[[#Headers],[Сумма РРЦ]],'WV 4.0'!$A:$N,ROW('WV 4.0'!230:230),0),"")</f>
        <v/>
      </c>
    </row>
    <row r="242" spans="1:14" x14ac:dyDescent="0.25">
      <c r="A242" s="29">
        <f>IFERROR('WV 4.0'!A231, " ")</f>
        <v>0</v>
      </c>
      <c r="B242" s="29">
        <f>IFERROR('WV 4.0'!B231, " ")</f>
        <v>0</v>
      </c>
      <c r="C242" s="29">
        <f>IFERROR('WV 4.0'!C231, " ")</f>
        <v>0</v>
      </c>
      <c r="D242" s="29">
        <f>IFERROR('WV 4.0'!D231, " ")</f>
        <v>0</v>
      </c>
      <c r="E242" s="29">
        <f>IFERROR('WV 4.0'!E231, " ")</f>
        <v>0</v>
      </c>
      <c r="F242" s="27">
        <f>IFERROR(ROUND(HLOOKUP(Таблица5[[#Headers],[Цена КП]],'WV 4.0'!$A:$N,ROW('WV 4.0'!231:231),0),0),"")</f>
        <v>0</v>
      </c>
      <c r="G242" s="27">
        <f>IFERROR(Таблица5[[#This Row],[Цена КП]]*Таблица5[[#This Row],[Кол-во]],"")</f>
        <v>0</v>
      </c>
      <c r="H242" s="42">
        <f>IFERROR(HLOOKUP(Таблица5[[#Headers],[Комментарии]],'WV 4.0'!$A:$N,ROW('WV 4.0'!231:231),0),"")</f>
        <v>0</v>
      </c>
      <c r="I242" s="42">
        <f>IFERROR(HLOOKUP(Таблица5[[#Headers],[Срок поставки]],'WV 4.0'!$A:$N,ROW('WV 4.0'!231:231),0),"")</f>
        <v>0</v>
      </c>
      <c r="J242" s="27" t="str">
        <f>IFERROR(HLOOKUP(Таблица5[[#Headers],[Цена КазНИИСА]],'WV 4.0'!$A:$N,ROW('WV 4.0'!231:231),0),"")</f>
        <v/>
      </c>
      <c r="K242" s="27" t="str">
        <f>IFERROR(HLOOKUP(Таблица5[[#Headers],[Сумма КазНИИСА]],'WV 4.0'!$A:$N,ROW('WV 4.0'!231:231),0),"")</f>
        <v/>
      </c>
      <c r="L242" s="27">
        <f>IFERROR(HLOOKUP(Таблица5[[#Headers],[Код КазНИИСА]],'WV 4.0'!$A:$N,ROW('WV 4.0'!231:231),0),"")</f>
        <v>0</v>
      </c>
      <c r="M242" s="27" t="str">
        <f>IFERROR(HLOOKUP(Таблица5[[#Headers],[РРЦ в тнг]],'WV 4.0'!$A:$N,ROW('WV 4.0'!231:231),0),"")</f>
        <v/>
      </c>
      <c r="N242" s="27" t="str">
        <f>IFERROR(HLOOKUP(Таблица5[[#Headers],[Сумма РРЦ]],'WV 4.0'!$A:$N,ROW('WV 4.0'!231:231),0),"")</f>
        <v/>
      </c>
    </row>
    <row r="243" spans="1:14" x14ac:dyDescent="0.25">
      <c r="A243" s="29">
        <f>IFERROR('WV 4.0'!A232, " ")</f>
        <v>0</v>
      </c>
      <c r="B243" s="29">
        <f>IFERROR('WV 4.0'!B232, " ")</f>
        <v>0</v>
      </c>
      <c r="C243" s="29">
        <f>IFERROR('WV 4.0'!C232, " ")</f>
        <v>0</v>
      </c>
      <c r="D243" s="29">
        <f>IFERROR('WV 4.0'!D232, " ")</f>
        <v>0</v>
      </c>
      <c r="E243" s="29">
        <f>IFERROR('WV 4.0'!E232, " ")</f>
        <v>0</v>
      </c>
      <c r="F243" s="27">
        <f>IFERROR(ROUND(HLOOKUP(Таблица5[[#Headers],[Цена КП]],'WV 4.0'!$A:$N,ROW('WV 4.0'!232:232),0),0),"")</f>
        <v>0</v>
      </c>
      <c r="G243" s="27">
        <f>IFERROR(Таблица5[[#This Row],[Цена КП]]*Таблица5[[#This Row],[Кол-во]],"")</f>
        <v>0</v>
      </c>
      <c r="H243" s="42">
        <f>IFERROR(HLOOKUP(Таблица5[[#Headers],[Комментарии]],'WV 4.0'!$A:$N,ROW('WV 4.0'!232:232),0),"")</f>
        <v>0</v>
      </c>
      <c r="I243" s="42">
        <f>IFERROR(HLOOKUP(Таблица5[[#Headers],[Срок поставки]],'WV 4.0'!$A:$N,ROW('WV 4.0'!232:232),0),"")</f>
        <v>0</v>
      </c>
      <c r="J243" s="27" t="str">
        <f>IFERROR(HLOOKUP(Таблица5[[#Headers],[Цена КазНИИСА]],'WV 4.0'!$A:$N,ROW('WV 4.0'!232:232),0),"")</f>
        <v/>
      </c>
      <c r="K243" s="27" t="str">
        <f>IFERROR(HLOOKUP(Таблица5[[#Headers],[Сумма КазНИИСА]],'WV 4.0'!$A:$N,ROW('WV 4.0'!232:232),0),"")</f>
        <v/>
      </c>
      <c r="L243" s="27">
        <f>IFERROR(HLOOKUP(Таблица5[[#Headers],[Код КазНИИСА]],'WV 4.0'!$A:$N,ROW('WV 4.0'!232:232),0),"")</f>
        <v>0</v>
      </c>
      <c r="M243" s="27" t="str">
        <f>IFERROR(HLOOKUP(Таблица5[[#Headers],[РРЦ в тнг]],'WV 4.0'!$A:$N,ROW('WV 4.0'!232:232),0),"")</f>
        <v/>
      </c>
      <c r="N243" s="27" t="str">
        <f>IFERROR(HLOOKUP(Таблица5[[#Headers],[Сумма РРЦ]],'WV 4.0'!$A:$N,ROW('WV 4.0'!232:232),0),"")</f>
        <v/>
      </c>
    </row>
    <row r="244" spans="1:14" x14ac:dyDescent="0.25">
      <c r="A244" s="29">
        <f>IFERROR('WV 4.0'!A233, " ")</f>
        <v>0</v>
      </c>
      <c r="B244" s="29">
        <f>IFERROR('WV 4.0'!B233, " ")</f>
        <v>0</v>
      </c>
      <c r="C244" s="29">
        <f>IFERROR('WV 4.0'!C233, " ")</f>
        <v>0</v>
      </c>
      <c r="D244" s="29">
        <f>IFERROR('WV 4.0'!D233, " ")</f>
        <v>0</v>
      </c>
      <c r="E244" s="29">
        <f>IFERROR('WV 4.0'!E233, " ")</f>
        <v>0</v>
      </c>
      <c r="F244" s="27">
        <f>IFERROR(ROUND(HLOOKUP(Таблица5[[#Headers],[Цена КП]],'WV 4.0'!$A:$N,ROW('WV 4.0'!233:233),0),0),"")</f>
        <v>0</v>
      </c>
      <c r="G244" s="27">
        <f>IFERROR(Таблица5[[#This Row],[Цена КП]]*Таблица5[[#This Row],[Кол-во]],"")</f>
        <v>0</v>
      </c>
      <c r="H244" s="42">
        <f>IFERROR(HLOOKUP(Таблица5[[#Headers],[Комментарии]],'WV 4.0'!$A:$N,ROW('WV 4.0'!233:233),0),"")</f>
        <v>0</v>
      </c>
      <c r="I244" s="42">
        <f>IFERROR(HLOOKUP(Таблица5[[#Headers],[Срок поставки]],'WV 4.0'!$A:$N,ROW('WV 4.0'!233:233),0),"")</f>
        <v>0</v>
      </c>
      <c r="J244" s="27" t="str">
        <f>IFERROR(HLOOKUP(Таблица5[[#Headers],[Цена КазНИИСА]],'WV 4.0'!$A:$N,ROW('WV 4.0'!233:233),0),"")</f>
        <v/>
      </c>
      <c r="K244" s="27" t="str">
        <f>IFERROR(HLOOKUP(Таблица5[[#Headers],[Сумма КазНИИСА]],'WV 4.0'!$A:$N,ROW('WV 4.0'!233:233),0),"")</f>
        <v/>
      </c>
      <c r="L244" s="27">
        <f>IFERROR(HLOOKUP(Таблица5[[#Headers],[Код КазНИИСА]],'WV 4.0'!$A:$N,ROW('WV 4.0'!233:233),0),"")</f>
        <v>0</v>
      </c>
      <c r="M244" s="27" t="str">
        <f>IFERROR(HLOOKUP(Таблица5[[#Headers],[РРЦ в тнг]],'WV 4.0'!$A:$N,ROW('WV 4.0'!233:233),0),"")</f>
        <v/>
      </c>
      <c r="N244" s="27" t="str">
        <f>IFERROR(HLOOKUP(Таблица5[[#Headers],[Сумма РРЦ]],'WV 4.0'!$A:$N,ROW('WV 4.0'!233:233),0),"")</f>
        <v/>
      </c>
    </row>
    <row r="245" spans="1:14" x14ac:dyDescent="0.25">
      <c r="A245" s="29">
        <f>IFERROR('WV 4.0'!A234, " ")</f>
        <v>0</v>
      </c>
      <c r="B245" s="29">
        <f>IFERROR('WV 4.0'!B234, " ")</f>
        <v>0</v>
      </c>
      <c r="C245" s="29">
        <f>IFERROR('WV 4.0'!C234, " ")</f>
        <v>0</v>
      </c>
      <c r="D245" s="29">
        <f>IFERROR('WV 4.0'!D234, " ")</f>
        <v>0</v>
      </c>
      <c r="E245" s="29">
        <f>IFERROR('WV 4.0'!E234, " ")</f>
        <v>0</v>
      </c>
      <c r="F245" s="27">
        <f>IFERROR(ROUND(HLOOKUP(Таблица5[[#Headers],[Цена КП]],'WV 4.0'!$A:$N,ROW('WV 4.0'!234:234),0),0),"")</f>
        <v>0</v>
      </c>
      <c r="G245" s="27">
        <f>IFERROR(Таблица5[[#This Row],[Цена КП]]*Таблица5[[#This Row],[Кол-во]],"")</f>
        <v>0</v>
      </c>
      <c r="H245" s="42">
        <f>IFERROR(HLOOKUP(Таблица5[[#Headers],[Комментарии]],'WV 4.0'!$A:$N,ROW('WV 4.0'!234:234),0),"")</f>
        <v>0</v>
      </c>
      <c r="I245" s="42">
        <f>IFERROR(HLOOKUP(Таблица5[[#Headers],[Срок поставки]],'WV 4.0'!$A:$N,ROW('WV 4.0'!234:234),0),"")</f>
        <v>0</v>
      </c>
      <c r="J245" s="27" t="str">
        <f>IFERROR(HLOOKUP(Таблица5[[#Headers],[Цена КазНИИСА]],'WV 4.0'!$A:$N,ROW('WV 4.0'!234:234),0),"")</f>
        <v/>
      </c>
      <c r="K245" s="27" t="str">
        <f>IFERROR(HLOOKUP(Таблица5[[#Headers],[Сумма КазНИИСА]],'WV 4.0'!$A:$N,ROW('WV 4.0'!234:234),0),"")</f>
        <v/>
      </c>
      <c r="L245" s="27">
        <f>IFERROR(HLOOKUP(Таблица5[[#Headers],[Код КазНИИСА]],'WV 4.0'!$A:$N,ROW('WV 4.0'!234:234),0),"")</f>
        <v>0</v>
      </c>
      <c r="M245" s="27" t="str">
        <f>IFERROR(HLOOKUP(Таблица5[[#Headers],[РРЦ в тнг]],'WV 4.0'!$A:$N,ROW('WV 4.0'!234:234),0),"")</f>
        <v/>
      </c>
      <c r="N245" s="27" t="str">
        <f>IFERROR(HLOOKUP(Таблица5[[#Headers],[Сумма РРЦ]],'WV 4.0'!$A:$N,ROW('WV 4.0'!234:234),0),"")</f>
        <v/>
      </c>
    </row>
    <row r="246" spans="1:14" x14ac:dyDescent="0.25">
      <c r="A246" s="29">
        <f>IFERROR('WV 4.0'!A235, " ")</f>
        <v>0</v>
      </c>
      <c r="B246" s="29">
        <f>IFERROR('WV 4.0'!B235, " ")</f>
        <v>0</v>
      </c>
      <c r="C246" s="29">
        <f>IFERROR('WV 4.0'!C235, " ")</f>
        <v>0</v>
      </c>
      <c r="D246" s="29">
        <f>IFERROR('WV 4.0'!D235, " ")</f>
        <v>0</v>
      </c>
      <c r="E246" s="29">
        <f>IFERROR('WV 4.0'!E235, " ")</f>
        <v>0</v>
      </c>
      <c r="F246" s="27">
        <f>IFERROR(ROUND(HLOOKUP(Таблица5[[#Headers],[Цена КП]],'WV 4.0'!$A:$N,ROW('WV 4.0'!235:235),0),0),"")</f>
        <v>0</v>
      </c>
      <c r="G246" s="27">
        <f>IFERROR(Таблица5[[#This Row],[Цена КП]]*Таблица5[[#This Row],[Кол-во]],"")</f>
        <v>0</v>
      </c>
      <c r="H246" s="42">
        <f>IFERROR(HLOOKUP(Таблица5[[#Headers],[Комментарии]],'WV 4.0'!$A:$N,ROW('WV 4.0'!235:235),0),"")</f>
        <v>0</v>
      </c>
      <c r="I246" s="42">
        <f>IFERROR(HLOOKUP(Таблица5[[#Headers],[Срок поставки]],'WV 4.0'!$A:$N,ROW('WV 4.0'!235:235),0),"")</f>
        <v>0</v>
      </c>
      <c r="J246" s="27" t="str">
        <f>IFERROR(HLOOKUP(Таблица5[[#Headers],[Цена КазНИИСА]],'WV 4.0'!$A:$N,ROW('WV 4.0'!235:235),0),"")</f>
        <v/>
      </c>
      <c r="K246" s="27" t="str">
        <f>IFERROR(HLOOKUP(Таблица5[[#Headers],[Сумма КазНИИСА]],'WV 4.0'!$A:$N,ROW('WV 4.0'!235:235),0),"")</f>
        <v/>
      </c>
      <c r="L246" s="27">
        <f>IFERROR(HLOOKUP(Таблица5[[#Headers],[Код КазНИИСА]],'WV 4.0'!$A:$N,ROW('WV 4.0'!235:235),0),"")</f>
        <v>0</v>
      </c>
      <c r="M246" s="27" t="str">
        <f>IFERROR(HLOOKUP(Таблица5[[#Headers],[РРЦ в тнг]],'WV 4.0'!$A:$N,ROW('WV 4.0'!235:235),0),"")</f>
        <v/>
      </c>
      <c r="N246" s="27" t="str">
        <f>IFERROR(HLOOKUP(Таблица5[[#Headers],[Сумма РРЦ]],'WV 4.0'!$A:$N,ROW('WV 4.0'!235:235),0),"")</f>
        <v/>
      </c>
    </row>
    <row r="247" spans="1:14" x14ac:dyDescent="0.25">
      <c r="A247" s="29">
        <f>IFERROR('WV 4.0'!A236, " ")</f>
        <v>0</v>
      </c>
      <c r="B247" s="29">
        <f>IFERROR('WV 4.0'!B236, " ")</f>
        <v>0</v>
      </c>
      <c r="C247" s="29">
        <f>IFERROR('WV 4.0'!C236, " ")</f>
        <v>0</v>
      </c>
      <c r="D247" s="29">
        <f>IFERROR('WV 4.0'!D236, " ")</f>
        <v>0</v>
      </c>
      <c r="E247" s="29">
        <f>IFERROR('WV 4.0'!E236, " ")</f>
        <v>0</v>
      </c>
      <c r="F247" s="27">
        <f>IFERROR(ROUND(HLOOKUP(Таблица5[[#Headers],[Цена КП]],'WV 4.0'!$A:$N,ROW('WV 4.0'!236:236),0),0),"")</f>
        <v>0</v>
      </c>
      <c r="G247" s="27">
        <f>IFERROR(Таблица5[[#This Row],[Цена КП]]*Таблица5[[#This Row],[Кол-во]],"")</f>
        <v>0</v>
      </c>
      <c r="H247" s="42">
        <f>IFERROR(HLOOKUP(Таблица5[[#Headers],[Комментарии]],'WV 4.0'!$A:$N,ROW('WV 4.0'!236:236),0),"")</f>
        <v>0</v>
      </c>
      <c r="I247" s="42">
        <f>IFERROR(HLOOKUP(Таблица5[[#Headers],[Срок поставки]],'WV 4.0'!$A:$N,ROW('WV 4.0'!236:236),0),"")</f>
        <v>0</v>
      </c>
      <c r="J247" s="27" t="str">
        <f>IFERROR(HLOOKUP(Таблица5[[#Headers],[Цена КазНИИСА]],'WV 4.0'!$A:$N,ROW('WV 4.0'!236:236),0),"")</f>
        <v/>
      </c>
      <c r="K247" s="27" t="str">
        <f>IFERROR(HLOOKUP(Таблица5[[#Headers],[Сумма КазНИИСА]],'WV 4.0'!$A:$N,ROW('WV 4.0'!236:236),0),"")</f>
        <v/>
      </c>
      <c r="L247" s="27">
        <f>IFERROR(HLOOKUP(Таблица5[[#Headers],[Код КазНИИСА]],'WV 4.0'!$A:$N,ROW('WV 4.0'!236:236),0),"")</f>
        <v>0</v>
      </c>
      <c r="M247" s="27" t="str">
        <f>IFERROR(HLOOKUP(Таблица5[[#Headers],[РРЦ в тнг]],'WV 4.0'!$A:$N,ROW('WV 4.0'!236:236),0),"")</f>
        <v/>
      </c>
      <c r="N247" s="27" t="str">
        <f>IFERROR(HLOOKUP(Таблица5[[#Headers],[Сумма РРЦ]],'WV 4.0'!$A:$N,ROW('WV 4.0'!236:236),0),"")</f>
        <v/>
      </c>
    </row>
    <row r="248" spans="1:14" x14ac:dyDescent="0.25">
      <c r="A248" s="29">
        <f>IFERROR('WV 4.0'!A237, " ")</f>
        <v>0</v>
      </c>
      <c r="B248" s="29">
        <f>IFERROR('WV 4.0'!B237, " ")</f>
        <v>0</v>
      </c>
      <c r="C248" s="29">
        <f>IFERROR('WV 4.0'!C237, " ")</f>
        <v>0</v>
      </c>
      <c r="D248" s="29">
        <f>IFERROR('WV 4.0'!D237, " ")</f>
        <v>0</v>
      </c>
      <c r="E248" s="29">
        <f>IFERROR('WV 4.0'!E237, " ")</f>
        <v>0</v>
      </c>
      <c r="F248" s="27">
        <f>IFERROR(ROUND(HLOOKUP(Таблица5[[#Headers],[Цена КП]],'WV 4.0'!$A:$N,ROW('WV 4.0'!237:237),0),0),"")</f>
        <v>0</v>
      </c>
      <c r="G248" s="27">
        <f>IFERROR(Таблица5[[#This Row],[Цена КП]]*Таблица5[[#This Row],[Кол-во]],"")</f>
        <v>0</v>
      </c>
      <c r="H248" s="42">
        <f>IFERROR(HLOOKUP(Таблица5[[#Headers],[Комментарии]],'WV 4.0'!$A:$N,ROW('WV 4.0'!237:237),0),"")</f>
        <v>0</v>
      </c>
      <c r="I248" s="42">
        <f>IFERROR(HLOOKUP(Таблица5[[#Headers],[Срок поставки]],'WV 4.0'!$A:$N,ROW('WV 4.0'!237:237),0),"")</f>
        <v>0</v>
      </c>
      <c r="J248" s="27" t="str">
        <f>IFERROR(HLOOKUP(Таблица5[[#Headers],[Цена КазНИИСА]],'WV 4.0'!$A:$N,ROW('WV 4.0'!237:237),0),"")</f>
        <v/>
      </c>
      <c r="K248" s="27" t="str">
        <f>IFERROR(HLOOKUP(Таблица5[[#Headers],[Сумма КазНИИСА]],'WV 4.0'!$A:$N,ROW('WV 4.0'!237:237),0),"")</f>
        <v/>
      </c>
      <c r="L248" s="27">
        <f>IFERROR(HLOOKUP(Таблица5[[#Headers],[Код КазНИИСА]],'WV 4.0'!$A:$N,ROW('WV 4.0'!237:237),0),"")</f>
        <v>0</v>
      </c>
      <c r="M248" s="27" t="str">
        <f>IFERROR(HLOOKUP(Таблица5[[#Headers],[РРЦ в тнг]],'WV 4.0'!$A:$N,ROW('WV 4.0'!237:237),0),"")</f>
        <v/>
      </c>
      <c r="N248" s="27" t="str">
        <f>IFERROR(HLOOKUP(Таблица5[[#Headers],[Сумма РРЦ]],'WV 4.0'!$A:$N,ROW('WV 4.0'!237:237),0),"")</f>
        <v/>
      </c>
    </row>
    <row r="249" spans="1:14" x14ac:dyDescent="0.25">
      <c r="A249" s="29">
        <f>IFERROR('WV 4.0'!A238, " ")</f>
        <v>0</v>
      </c>
      <c r="B249" s="29">
        <f>IFERROR('WV 4.0'!B238, " ")</f>
        <v>0</v>
      </c>
      <c r="C249" s="29">
        <f>IFERROR('WV 4.0'!C238, " ")</f>
        <v>0</v>
      </c>
      <c r="D249" s="29">
        <f>IFERROR('WV 4.0'!D238, " ")</f>
        <v>0</v>
      </c>
      <c r="E249" s="29">
        <f>IFERROR('WV 4.0'!E238, " ")</f>
        <v>0</v>
      </c>
      <c r="F249" s="27">
        <f>IFERROR(ROUND(HLOOKUP(Таблица5[[#Headers],[Цена КП]],'WV 4.0'!$A:$N,ROW('WV 4.0'!238:238),0),0),"")</f>
        <v>0</v>
      </c>
      <c r="G249" s="27">
        <f>IFERROR(Таблица5[[#This Row],[Цена КП]]*Таблица5[[#This Row],[Кол-во]],"")</f>
        <v>0</v>
      </c>
      <c r="H249" s="42">
        <f>IFERROR(HLOOKUP(Таблица5[[#Headers],[Комментарии]],'WV 4.0'!$A:$N,ROW('WV 4.0'!238:238),0),"")</f>
        <v>0</v>
      </c>
      <c r="I249" s="42">
        <f>IFERROR(HLOOKUP(Таблица5[[#Headers],[Срок поставки]],'WV 4.0'!$A:$N,ROW('WV 4.0'!238:238),0),"")</f>
        <v>0</v>
      </c>
      <c r="J249" s="27" t="str">
        <f>IFERROR(HLOOKUP(Таблица5[[#Headers],[Цена КазНИИСА]],'WV 4.0'!$A:$N,ROW('WV 4.0'!238:238),0),"")</f>
        <v/>
      </c>
      <c r="K249" s="27" t="str">
        <f>IFERROR(HLOOKUP(Таблица5[[#Headers],[Сумма КазНИИСА]],'WV 4.0'!$A:$N,ROW('WV 4.0'!238:238),0),"")</f>
        <v/>
      </c>
      <c r="L249" s="27">
        <f>IFERROR(HLOOKUP(Таблица5[[#Headers],[Код КазНИИСА]],'WV 4.0'!$A:$N,ROW('WV 4.0'!238:238),0),"")</f>
        <v>0</v>
      </c>
      <c r="M249" s="27" t="str">
        <f>IFERROR(HLOOKUP(Таблица5[[#Headers],[РРЦ в тнг]],'WV 4.0'!$A:$N,ROW('WV 4.0'!238:238),0),"")</f>
        <v/>
      </c>
      <c r="N249" s="27" t="str">
        <f>IFERROR(HLOOKUP(Таблица5[[#Headers],[Сумма РРЦ]],'WV 4.0'!$A:$N,ROW('WV 4.0'!238:238),0),"")</f>
        <v/>
      </c>
    </row>
    <row r="250" spans="1:14" x14ac:dyDescent="0.25">
      <c r="A250" s="29">
        <f>IFERROR('WV 4.0'!A239, " ")</f>
        <v>0</v>
      </c>
      <c r="B250" s="29">
        <f>IFERROR('WV 4.0'!B239, " ")</f>
        <v>0</v>
      </c>
      <c r="C250" s="29">
        <f>IFERROR('WV 4.0'!C239, " ")</f>
        <v>0</v>
      </c>
      <c r="D250" s="29">
        <f>IFERROR('WV 4.0'!D239, " ")</f>
        <v>0</v>
      </c>
      <c r="E250" s="29">
        <f>IFERROR('WV 4.0'!E239, " ")</f>
        <v>0</v>
      </c>
      <c r="F250" s="27">
        <f>IFERROR(ROUND(HLOOKUP(Таблица5[[#Headers],[Цена КП]],'WV 4.0'!$A:$N,ROW('WV 4.0'!239:239),0),0),"")</f>
        <v>0</v>
      </c>
      <c r="G250" s="27">
        <f>IFERROR(Таблица5[[#This Row],[Цена КП]]*Таблица5[[#This Row],[Кол-во]],"")</f>
        <v>0</v>
      </c>
      <c r="H250" s="42">
        <f>IFERROR(HLOOKUP(Таблица5[[#Headers],[Комментарии]],'WV 4.0'!$A:$N,ROW('WV 4.0'!239:239),0),"")</f>
        <v>0</v>
      </c>
      <c r="I250" s="42">
        <f>IFERROR(HLOOKUP(Таблица5[[#Headers],[Срок поставки]],'WV 4.0'!$A:$N,ROW('WV 4.0'!239:239),0),"")</f>
        <v>0</v>
      </c>
      <c r="J250" s="27" t="str">
        <f>IFERROR(HLOOKUP(Таблица5[[#Headers],[Цена КазНИИСА]],'WV 4.0'!$A:$N,ROW('WV 4.0'!239:239),0),"")</f>
        <v/>
      </c>
      <c r="K250" s="27" t="str">
        <f>IFERROR(HLOOKUP(Таблица5[[#Headers],[Сумма КазНИИСА]],'WV 4.0'!$A:$N,ROW('WV 4.0'!239:239),0),"")</f>
        <v/>
      </c>
      <c r="L250" s="27">
        <f>IFERROR(HLOOKUP(Таблица5[[#Headers],[Код КазНИИСА]],'WV 4.0'!$A:$N,ROW('WV 4.0'!239:239),0),"")</f>
        <v>0</v>
      </c>
      <c r="M250" s="27" t="str">
        <f>IFERROR(HLOOKUP(Таблица5[[#Headers],[РРЦ в тнг]],'WV 4.0'!$A:$N,ROW('WV 4.0'!239:239),0),"")</f>
        <v/>
      </c>
      <c r="N250" s="27" t="str">
        <f>IFERROR(HLOOKUP(Таблица5[[#Headers],[Сумма РРЦ]],'WV 4.0'!$A:$N,ROW('WV 4.0'!239:239),0),"")</f>
        <v/>
      </c>
    </row>
    <row r="251" spans="1:14" x14ac:dyDescent="0.25">
      <c r="A251" s="29">
        <f>IFERROR('WV 4.0'!A240, " ")</f>
        <v>0</v>
      </c>
      <c r="B251" s="29">
        <f>IFERROR('WV 4.0'!B240, " ")</f>
        <v>0</v>
      </c>
      <c r="C251" s="29">
        <f>IFERROR('WV 4.0'!C240, " ")</f>
        <v>0</v>
      </c>
      <c r="D251" s="29">
        <f>IFERROR('WV 4.0'!D240, " ")</f>
        <v>0</v>
      </c>
      <c r="E251" s="29">
        <f>IFERROR('WV 4.0'!E240, " ")</f>
        <v>0</v>
      </c>
      <c r="F251" s="27">
        <f>IFERROR(ROUND(HLOOKUP(Таблица5[[#Headers],[Цена КП]],'WV 4.0'!$A:$N,ROW('WV 4.0'!240:240),0),0),"")</f>
        <v>0</v>
      </c>
      <c r="G251" s="27">
        <f>IFERROR(Таблица5[[#This Row],[Цена КП]]*Таблица5[[#This Row],[Кол-во]],"")</f>
        <v>0</v>
      </c>
      <c r="H251" s="42">
        <f>IFERROR(HLOOKUP(Таблица5[[#Headers],[Комментарии]],'WV 4.0'!$A:$N,ROW('WV 4.0'!240:240),0),"")</f>
        <v>0</v>
      </c>
      <c r="I251" s="42">
        <f>IFERROR(HLOOKUP(Таблица5[[#Headers],[Срок поставки]],'WV 4.0'!$A:$N,ROW('WV 4.0'!240:240),0),"")</f>
        <v>0</v>
      </c>
      <c r="J251" s="27" t="str">
        <f>IFERROR(HLOOKUP(Таблица5[[#Headers],[Цена КазНИИСА]],'WV 4.0'!$A:$N,ROW('WV 4.0'!240:240),0),"")</f>
        <v/>
      </c>
      <c r="K251" s="27" t="str">
        <f>IFERROR(HLOOKUP(Таблица5[[#Headers],[Сумма КазНИИСА]],'WV 4.0'!$A:$N,ROW('WV 4.0'!240:240),0),"")</f>
        <v/>
      </c>
      <c r="L251" s="27">
        <f>IFERROR(HLOOKUP(Таблица5[[#Headers],[Код КазНИИСА]],'WV 4.0'!$A:$N,ROW('WV 4.0'!240:240),0),"")</f>
        <v>0</v>
      </c>
      <c r="M251" s="27" t="str">
        <f>IFERROR(HLOOKUP(Таблица5[[#Headers],[РРЦ в тнг]],'WV 4.0'!$A:$N,ROW('WV 4.0'!240:240),0),"")</f>
        <v/>
      </c>
      <c r="N251" s="27" t="str">
        <f>IFERROR(HLOOKUP(Таблица5[[#Headers],[Сумма РРЦ]],'WV 4.0'!$A:$N,ROW('WV 4.0'!240:240),0),"")</f>
        <v/>
      </c>
    </row>
    <row r="252" spans="1:14" x14ac:dyDescent="0.25">
      <c r="A252" s="29">
        <f>IFERROR('WV 4.0'!A241, " ")</f>
        <v>0</v>
      </c>
      <c r="B252" s="29">
        <f>IFERROR('WV 4.0'!B241, " ")</f>
        <v>0</v>
      </c>
      <c r="C252" s="29">
        <f>IFERROR('WV 4.0'!C241, " ")</f>
        <v>0</v>
      </c>
      <c r="D252" s="29">
        <f>IFERROR('WV 4.0'!D241, " ")</f>
        <v>0</v>
      </c>
      <c r="E252" s="29">
        <f>IFERROR('WV 4.0'!E241, " ")</f>
        <v>0</v>
      </c>
      <c r="F252" s="27">
        <f>IFERROR(ROUND(HLOOKUP(Таблица5[[#Headers],[Цена КП]],'WV 4.0'!$A:$N,ROW('WV 4.0'!241:241),0),0),"")</f>
        <v>0</v>
      </c>
      <c r="G252" s="27">
        <f>IFERROR(Таблица5[[#This Row],[Цена КП]]*Таблица5[[#This Row],[Кол-во]],"")</f>
        <v>0</v>
      </c>
      <c r="H252" s="42">
        <f>IFERROR(HLOOKUP(Таблица5[[#Headers],[Комментарии]],'WV 4.0'!$A:$N,ROW('WV 4.0'!241:241),0),"")</f>
        <v>0</v>
      </c>
      <c r="I252" s="42">
        <f>IFERROR(HLOOKUP(Таблица5[[#Headers],[Срок поставки]],'WV 4.0'!$A:$N,ROW('WV 4.0'!241:241),0),"")</f>
        <v>0</v>
      </c>
      <c r="J252" s="27" t="str">
        <f>IFERROR(HLOOKUP(Таблица5[[#Headers],[Цена КазНИИСА]],'WV 4.0'!$A:$N,ROW('WV 4.0'!241:241),0),"")</f>
        <v/>
      </c>
      <c r="K252" s="27" t="str">
        <f>IFERROR(HLOOKUP(Таблица5[[#Headers],[Сумма КазНИИСА]],'WV 4.0'!$A:$N,ROW('WV 4.0'!241:241),0),"")</f>
        <v/>
      </c>
      <c r="L252" s="27">
        <f>IFERROR(HLOOKUP(Таблица5[[#Headers],[Код КазНИИСА]],'WV 4.0'!$A:$N,ROW('WV 4.0'!241:241),0),"")</f>
        <v>0</v>
      </c>
      <c r="M252" s="27" t="str">
        <f>IFERROR(HLOOKUP(Таблица5[[#Headers],[РРЦ в тнг]],'WV 4.0'!$A:$N,ROW('WV 4.0'!241:241),0),"")</f>
        <v/>
      </c>
      <c r="N252" s="27" t="str">
        <f>IFERROR(HLOOKUP(Таблица5[[#Headers],[Сумма РРЦ]],'WV 4.0'!$A:$N,ROW('WV 4.0'!241:241),0),"")</f>
        <v/>
      </c>
    </row>
    <row r="253" spans="1:14" x14ac:dyDescent="0.25">
      <c r="A253" s="29">
        <f>IFERROR('WV 4.0'!A242, " ")</f>
        <v>0</v>
      </c>
      <c r="B253" s="29">
        <f>IFERROR('WV 4.0'!B242, " ")</f>
        <v>0</v>
      </c>
      <c r="C253" s="29">
        <f>IFERROR('WV 4.0'!C242, " ")</f>
        <v>0</v>
      </c>
      <c r="D253" s="29">
        <f>IFERROR('WV 4.0'!D242, " ")</f>
        <v>0</v>
      </c>
      <c r="E253" s="29">
        <f>IFERROR('WV 4.0'!E242, " ")</f>
        <v>0</v>
      </c>
      <c r="F253" s="27">
        <f>IFERROR(ROUND(HLOOKUP(Таблица5[[#Headers],[Цена КП]],'WV 4.0'!$A:$N,ROW('WV 4.0'!242:242),0),0),"")</f>
        <v>0</v>
      </c>
      <c r="G253" s="27">
        <f>IFERROR(Таблица5[[#This Row],[Цена КП]]*Таблица5[[#This Row],[Кол-во]],"")</f>
        <v>0</v>
      </c>
      <c r="H253" s="42">
        <f>IFERROR(HLOOKUP(Таблица5[[#Headers],[Комментарии]],'WV 4.0'!$A:$N,ROW('WV 4.0'!242:242),0),"")</f>
        <v>0</v>
      </c>
      <c r="I253" s="42">
        <f>IFERROR(HLOOKUP(Таблица5[[#Headers],[Срок поставки]],'WV 4.0'!$A:$N,ROW('WV 4.0'!242:242),0),"")</f>
        <v>0</v>
      </c>
      <c r="J253" s="27" t="str">
        <f>IFERROR(HLOOKUP(Таблица5[[#Headers],[Цена КазНИИСА]],'WV 4.0'!$A:$N,ROW('WV 4.0'!242:242),0),"")</f>
        <v/>
      </c>
      <c r="K253" s="27" t="str">
        <f>IFERROR(HLOOKUP(Таблица5[[#Headers],[Сумма КазНИИСА]],'WV 4.0'!$A:$N,ROW('WV 4.0'!242:242),0),"")</f>
        <v/>
      </c>
      <c r="L253" s="27">
        <f>IFERROR(HLOOKUP(Таблица5[[#Headers],[Код КазНИИСА]],'WV 4.0'!$A:$N,ROW('WV 4.0'!242:242),0),"")</f>
        <v>0</v>
      </c>
      <c r="M253" s="27" t="str">
        <f>IFERROR(HLOOKUP(Таблица5[[#Headers],[РРЦ в тнг]],'WV 4.0'!$A:$N,ROW('WV 4.0'!242:242),0),"")</f>
        <v/>
      </c>
      <c r="N253" s="27" t="str">
        <f>IFERROR(HLOOKUP(Таблица5[[#Headers],[Сумма РРЦ]],'WV 4.0'!$A:$N,ROW('WV 4.0'!242:242),0),"")</f>
        <v/>
      </c>
    </row>
    <row r="254" spans="1:14" x14ac:dyDescent="0.25">
      <c r="A254" s="29">
        <f>IFERROR('WV 4.0'!A243, " ")</f>
        <v>0</v>
      </c>
      <c r="B254" s="29">
        <f>IFERROR('WV 4.0'!B243, " ")</f>
        <v>0</v>
      </c>
      <c r="C254" s="29">
        <f>IFERROR('WV 4.0'!C243, " ")</f>
        <v>0</v>
      </c>
      <c r="D254" s="29">
        <f>IFERROR('WV 4.0'!D243, " ")</f>
        <v>0</v>
      </c>
      <c r="E254" s="29">
        <f>IFERROR('WV 4.0'!E243, " ")</f>
        <v>0</v>
      </c>
      <c r="F254" s="27">
        <f>IFERROR(ROUND(HLOOKUP(Таблица5[[#Headers],[Цена КП]],'WV 4.0'!$A:$N,ROW('WV 4.0'!243:243),0),0),"")</f>
        <v>0</v>
      </c>
      <c r="G254" s="27">
        <f>IFERROR(Таблица5[[#This Row],[Цена КП]]*Таблица5[[#This Row],[Кол-во]],"")</f>
        <v>0</v>
      </c>
      <c r="H254" s="42">
        <f>IFERROR(HLOOKUP(Таблица5[[#Headers],[Комментарии]],'WV 4.0'!$A:$N,ROW('WV 4.0'!243:243),0),"")</f>
        <v>0</v>
      </c>
      <c r="I254" s="42">
        <f>IFERROR(HLOOKUP(Таблица5[[#Headers],[Срок поставки]],'WV 4.0'!$A:$N,ROW('WV 4.0'!243:243),0),"")</f>
        <v>0</v>
      </c>
      <c r="J254" s="27" t="str">
        <f>IFERROR(HLOOKUP(Таблица5[[#Headers],[Цена КазНИИСА]],'WV 4.0'!$A:$N,ROW('WV 4.0'!243:243),0),"")</f>
        <v/>
      </c>
      <c r="K254" s="27" t="str">
        <f>IFERROR(HLOOKUP(Таблица5[[#Headers],[Сумма КазНИИСА]],'WV 4.0'!$A:$N,ROW('WV 4.0'!243:243),0),"")</f>
        <v/>
      </c>
      <c r="L254" s="27">
        <f>IFERROR(HLOOKUP(Таблица5[[#Headers],[Код КазНИИСА]],'WV 4.0'!$A:$N,ROW('WV 4.0'!243:243),0),"")</f>
        <v>0</v>
      </c>
      <c r="M254" s="27" t="str">
        <f>IFERROR(HLOOKUP(Таблица5[[#Headers],[РРЦ в тнг]],'WV 4.0'!$A:$N,ROW('WV 4.0'!243:243),0),"")</f>
        <v/>
      </c>
      <c r="N254" s="27" t="str">
        <f>IFERROR(HLOOKUP(Таблица5[[#Headers],[Сумма РРЦ]],'WV 4.0'!$A:$N,ROW('WV 4.0'!243:243),0),"")</f>
        <v/>
      </c>
    </row>
    <row r="255" spans="1:14" x14ac:dyDescent="0.25">
      <c r="A255" s="29">
        <f>IFERROR('WV 4.0'!A244, " ")</f>
        <v>0</v>
      </c>
      <c r="B255" s="29">
        <f>IFERROR('WV 4.0'!B244, " ")</f>
        <v>0</v>
      </c>
      <c r="C255" s="29">
        <f>IFERROR('WV 4.0'!C244, " ")</f>
        <v>0</v>
      </c>
      <c r="D255" s="29">
        <f>IFERROR('WV 4.0'!D244, " ")</f>
        <v>0</v>
      </c>
      <c r="E255" s="29">
        <f>IFERROR('WV 4.0'!E244, " ")</f>
        <v>0</v>
      </c>
      <c r="F255" s="27">
        <f>IFERROR(ROUND(HLOOKUP(Таблица5[[#Headers],[Цена КП]],'WV 4.0'!$A:$N,ROW('WV 4.0'!244:244),0),0),"")</f>
        <v>0</v>
      </c>
      <c r="G255" s="27">
        <f>IFERROR(Таблица5[[#This Row],[Цена КП]]*Таблица5[[#This Row],[Кол-во]],"")</f>
        <v>0</v>
      </c>
      <c r="H255" s="42">
        <f>IFERROR(HLOOKUP(Таблица5[[#Headers],[Комментарии]],'WV 4.0'!$A:$N,ROW('WV 4.0'!244:244),0),"")</f>
        <v>0</v>
      </c>
      <c r="I255" s="42">
        <f>IFERROR(HLOOKUP(Таблица5[[#Headers],[Срок поставки]],'WV 4.0'!$A:$N,ROW('WV 4.0'!244:244),0),"")</f>
        <v>0</v>
      </c>
      <c r="J255" s="27" t="str">
        <f>IFERROR(HLOOKUP(Таблица5[[#Headers],[Цена КазНИИСА]],'WV 4.0'!$A:$N,ROW('WV 4.0'!244:244),0),"")</f>
        <v/>
      </c>
      <c r="K255" s="27" t="str">
        <f>IFERROR(HLOOKUP(Таблица5[[#Headers],[Сумма КазНИИСА]],'WV 4.0'!$A:$N,ROW('WV 4.0'!244:244),0),"")</f>
        <v/>
      </c>
      <c r="L255" s="27">
        <f>IFERROR(HLOOKUP(Таблица5[[#Headers],[Код КазНИИСА]],'WV 4.0'!$A:$N,ROW('WV 4.0'!244:244),0),"")</f>
        <v>0</v>
      </c>
      <c r="M255" s="27" t="str">
        <f>IFERROR(HLOOKUP(Таблица5[[#Headers],[РРЦ в тнг]],'WV 4.0'!$A:$N,ROW('WV 4.0'!244:244),0),"")</f>
        <v/>
      </c>
      <c r="N255" s="27" t="str">
        <f>IFERROR(HLOOKUP(Таблица5[[#Headers],[Сумма РРЦ]],'WV 4.0'!$A:$N,ROW('WV 4.0'!244:244),0),"")</f>
        <v/>
      </c>
    </row>
    <row r="256" spans="1:14" x14ac:dyDescent="0.25">
      <c r="A256" s="29">
        <f>IFERROR('WV 4.0'!A245, " ")</f>
        <v>0</v>
      </c>
      <c r="B256" s="29">
        <f>IFERROR('WV 4.0'!B245, " ")</f>
        <v>0</v>
      </c>
      <c r="C256" s="29">
        <f>IFERROR('WV 4.0'!C245, " ")</f>
        <v>0</v>
      </c>
      <c r="D256" s="29">
        <f>IFERROR('WV 4.0'!D245, " ")</f>
        <v>0</v>
      </c>
      <c r="E256" s="29">
        <f>IFERROR('WV 4.0'!E245, " ")</f>
        <v>0</v>
      </c>
      <c r="F256" s="27">
        <f>IFERROR(ROUND(HLOOKUP(Таблица5[[#Headers],[Цена КП]],'WV 4.0'!$A:$N,ROW('WV 4.0'!245:245),0),0),"")</f>
        <v>0</v>
      </c>
      <c r="G256" s="27">
        <f>IFERROR(Таблица5[[#This Row],[Цена КП]]*Таблица5[[#This Row],[Кол-во]],"")</f>
        <v>0</v>
      </c>
      <c r="H256" s="42">
        <f>IFERROR(HLOOKUP(Таблица5[[#Headers],[Комментарии]],'WV 4.0'!$A:$N,ROW('WV 4.0'!245:245),0),"")</f>
        <v>0</v>
      </c>
      <c r="I256" s="42">
        <f>IFERROR(HLOOKUP(Таблица5[[#Headers],[Срок поставки]],'WV 4.0'!$A:$N,ROW('WV 4.0'!245:245),0),"")</f>
        <v>0</v>
      </c>
      <c r="J256" s="27" t="str">
        <f>IFERROR(HLOOKUP(Таблица5[[#Headers],[Цена КазНИИСА]],'WV 4.0'!$A:$N,ROW('WV 4.0'!245:245),0),"")</f>
        <v/>
      </c>
      <c r="K256" s="27" t="str">
        <f>IFERROR(HLOOKUP(Таблица5[[#Headers],[Сумма КазНИИСА]],'WV 4.0'!$A:$N,ROW('WV 4.0'!245:245),0),"")</f>
        <v/>
      </c>
      <c r="L256" s="27">
        <f>IFERROR(HLOOKUP(Таблица5[[#Headers],[Код КазНИИСА]],'WV 4.0'!$A:$N,ROW('WV 4.0'!245:245),0),"")</f>
        <v>0</v>
      </c>
      <c r="M256" s="27" t="str">
        <f>IFERROR(HLOOKUP(Таблица5[[#Headers],[РРЦ в тнг]],'WV 4.0'!$A:$N,ROW('WV 4.0'!245:245),0),"")</f>
        <v/>
      </c>
      <c r="N256" s="27" t="str">
        <f>IFERROR(HLOOKUP(Таблица5[[#Headers],[Сумма РРЦ]],'WV 4.0'!$A:$N,ROW('WV 4.0'!245:245),0),"")</f>
        <v/>
      </c>
    </row>
    <row r="257" spans="1:14" x14ac:dyDescent="0.25">
      <c r="A257" s="29">
        <f>IFERROR('WV 4.0'!A246, " ")</f>
        <v>0</v>
      </c>
      <c r="B257" s="29">
        <f>IFERROR('WV 4.0'!B246, " ")</f>
        <v>0</v>
      </c>
      <c r="C257" s="29">
        <f>IFERROR('WV 4.0'!C246, " ")</f>
        <v>0</v>
      </c>
      <c r="D257" s="29">
        <f>IFERROR('WV 4.0'!D246, " ")</f>
        <v>0</v>
      </c>
      <c r="E257" s="29">
        <f>IFERROR('WV 4.0'!E246, " ")</f>
        <v>0</v>
      </c>
      <c r="F257" s="27">
        <f>IFERROR(ROUND(HLOOKUP(Таблица5[[#Headers],[Цена КП]],'WV 4.0'!$A:$N,ROW('WV 4.0'!246:246),0),0),"")</f>
        <v>0</v>
      </c>
      <c r="G257" s="27">
        <f>IFERROR(Таблица5[[#This Row],[Цена КП]]*Таблица5[[#This Row],[Кол-во]],"")</f>
        <v>0</v>
      </c>
      <c r="H257" s="42">
        <f>IFERROR(HLOOKUP(Таблица5[[#Headers],[Комментарии]],'WV 4.0'!$A:$N,ROW('WV 4.0'!246:246),0),"")</f>
        <v>0</v>
      </c>
      <c r="I257" s="42">
        <f>IFERROR(HLOOKUP(Таблица5[[#Headers],[Срок поставки]],'WV 4.0'!$A:$N,ROW('WV 4.0'!246:246),0),"")</f>
        <v>0</v>
      </c>
      <c r="J257" s="27" t="str">
        <f>IFERROR(HLOOKUP(Таблица5[[#Headers],[Цена КазНИИСА]],'WV 4.0'!$A:$N,ROW('WV 4.0'!246:246),0),"")</f>
        <v/>
      </c>
      <c r="K257" s="27" t="str">
        <f>IFERROR(HLOOKUP(Таблица5[[#Headers],[Сумма КазНИИСА]],'WV 4.0'!$A:$N,ROW('WV 4.0'!246:246),0),"")</f>
        <v/>
      </c>
      <c r="L257" s="27">
        <f>IFERROR(HLOOKUP(Таблица5[[#Headers],[Код КазНИИСА]],'WV 4.0'!$A:$N,ROW('WV 4.0'!246:246),0),"")</f>
        <v>0</v>
      </c>
      <c r="M257" s="27" t="str">
        <f>IFERROR(HLOOKUP(Таблица5[[#Headers],[РРЦ в тнг]],'WV 4.0'!$A:$N,ROW('WV 4.0'!246:246),0),"")</f>
        <v/>
      </c>
      <c r="N257" s="27" t="str">
        <f>IFERROR(HLOOKUP(Таблица5[[#Headers],[Сумма РРЦ]],'WV 4.0'!$A:$N,ROW('WV 4.0'!246:246),0),"")</f>
        <v/>
      </c>
    </row>
    <row r="258" spans="1:14" x14ac:dyDescent="0.25">
      <c r="A258" s="29">
        <f>IFERROR('WV 4.0'!A247, " ")</f>
        <v>0</v>
      </c>
      <c r="B258" s="29">
        <f>IFERROR('WV 4.0'!B247, " ")</f>
        <v>0</v>
      </c>
      <c r="C258" s="29">
        <f>IFERROR('WV 4.0'!C247, " ")</f>
        <v>0</v>
      </c>
      <c r="D258" s="29">
        <f>IFERROR('WV 4.0'!D247, " ")</f>
        <v>0</v>
      </c>
      <c r="E258" s="29">
        <f>IFERROR('WV 4.0'!E247, " ")</f>
        <v>0</v>
      </c>
      <c r="F258" s="27">
        <f>IFERROR(ROUND(HLOOKUP(Таблица5[[#Headers],[Цена КП]],'WV 4.0'!$A:$N,ROW('WV 4.0'!247:247),0),0),"")</f>
        <v>0</v>
      </c>
      <c r="G258" s="27">
        <f>IFERROR(Таблица5[[#This Row],[Цена КП]]*Таблица5[[#This Row],[Кол-во]],"")</f>
        <v>0</v>
      </c>
      <c r="H258" s="42">
        <f>IFERROR(HLOOKUP(Таблица5[[#Headers],[Комментарии]],'WV 4.0'!$A:$N,ROW('WV 4.0'!247:247),0),"")</f>
        <v>0</v>
      </c>
      <c r="I258" s="42">
        <f>IFERROR(HLOOKUP(Таблица5[[#Headers],[Срок поставки]],'WV 4.0'!$A:$N,ROW('WV 4.0'!247:247),0),"")</f>
        <v>0</v>
      </c>
      <c r="J258" s="27" t="str">
        <f>IFERROR(HLOOKUP(Таблица5[[#Headers],[Цена КазНИИСА]],'WV 4.0'!$A:$N,ROW('WV 4.0'!247:247),0),"")</f>
        <v/>
      </c>
      <c r="K258" s="27" t="str">
        <f>IFERROR(HLOOKUP(Таблица5[[#Headers],[Сумма КазНИИСА]],'WV 4.0'!$A:$N,ROW('WV 4.0'!247:247),0),"")</f>
        <v/>
      </c>
      <c r="L258" s="27">
        <f>IFERROR(HLOOKUP(Таблица5[[#Headers],[Код КазНИИСА]],'WV 4.0'!$A:$N,ROW('WV 4.0'!247:247),0),"")</f>
        <v>0</v>
      </c>
      <c r="M258" s="27" t="str">
        <f>IFERROR(HLOOKUP(Таблица5[[#Headers],[РРЦ в тнг]],'WV 4.0'!$A:$N,ROW('WV 4.0'!247:247),0),"")</f>
        <v/>
      </c>
      <c r="N258" s="27" t="str">
        <f>IFERROR(HLOOKUP(Таблица5[[#Headers],[Сумма РРЦ]],'WV 4.0'!$A:$N,ROW('WV 4.0'!247:247),0),"")</f>
        <v/>
      </c>
    </row>
    <row r="259" spans="1:14" x14ac:dyDescent="0.25">
      <c r="A259" s="29">
        <f>IFERROR('WV 4.0'!A248, " ")</f>
        <v>0</v>
      </c>
      <c r="B259" s="29">
        <f>IFERROR('WV 4.0'!B248, " ")</f>
        <v>0</v>
      </c>
      <c r="C259" s="29">
        <f>IFERROR('WV 4.0'!C248, " ")</f>
        <v>0</v>
      </c>
      <c r="D259" s="29">
        <f>IFERROR('WV 4.0'!D248, " ")</f>
        <v>0</v>
      </c>
      <c r="E259" s="29">
        <f>IFERROR('WV 4.0'!E248, " ")</f>
        <v>0</v>
      </c>
      <c r="F259" s="27">
        <f>IFERROR(ROUND(HLOOKUP(Таблица5[[#Headers],[Цена КП]],'WV 4.0'!$A:$N,ROW('WV 4.0'!248:248),0),0),"")</f>
        <v>0</v>
      </c>
      <c r="G259" s="27">
        <f>IFERROR(Таблица5[[#This Row],[Цена КП]]*Таблица5[[#This Row],[Кол-во]],"")</f>
        <v>0</v>
      </c>
      <c r="H259" s="42">
        <f>IFERROR(HLOOKUP(Таблица5[[#Headers],[Комментарии]],'WV 4.0'!$A:$N,ROW('WV 4.0'!248:248),0),"")</f>
        <v>0</v>
      </c>
      <c r="I259" s="42">
        <f>IFERROR(HLOOKUP(Таблица5[[#Headers],[Срок поставки]],'WV 4.0'!$A:$N,ROW('WV 4.0'!248:248),0),"")</f>
        <v>0</v>
      </c>
      <c r="J259" s="27" t="str">
        <f>IFERROR(HLOOKUP(Таблица5[[#Headers],[Цена КазНИИСА]],'WV 4.0'!$A:$N,ROW('WV 4.0'!248:248),0),"")</f>
        <v/>
      </c>
      <c r="K259" s="27" t="str">
        <f>IFERROR(HLOOKUP(Таблица5[[#Headers],[Сумма КазНИИСА]],'WV 4.0'!$A:$N,ROW('WV 4.0'!248:248),0),"")</f>
        <v/>
      </c>
      <c r="L259" s="27">
        <f>IFERROR(HLOOKUP(Таблица5[[#Headers],[Код КазНИИСА]],'WV 4.0'!$A:$N,ROW('WV 4.0'!248:248),0),"")</f>
        <v>0</v>
      </c>
      <c r="M259" s="27" t="str">
        <f>IFERROR(HLOOKUP(Таблица5[[#Headers],[РРЦ в тнг]],'WV 4.0'!$A:$N,ROW('WV 4.0'!248:248),0),"")</f>
        <v/>
      </c>
      <c r="N259" s="27" t="str">
        <f>IFERROR(HLOOKUP(Таблица5[[#Headers],[Сумма РРЦ]],'WV 4.0'!$A:$N,ROW('WV 4.0'!248:248),0),"")</f>
        <v/>
      </c>
    </row>
    <row r="260" spans="1:14" x14ac:dyDescent="0.25">
      <c r="A260" s="29">
        <f>IFERROR('WV 4.0'!A249, " ")</f>
        <v>0</v>
      </c>
      <c r="B260" s="29">
        <f>IFERROR('WV 4.0'!B249, " ")</f>
        <v>0</v>
      </c>
      <c r="C260" s="29">
        <f>IFERROR('WV 4.0'!C249, " ")</f>
        <v>0</v>
      </c>
      <c r="D260" s="29">
        <f>IFERROR('WV 4.0'!D249, " ")</f>
        <v>0</v>
      </c>
      <c r="E260" s="29">
        <f>IFERROR('WV 4.0'!E249, " ")</f>
        <v>0</v>
      </c>
      <c r="F260" s="27">
        <f>IFERROR(ROUND(HLOOKUP(Таблица5[[#Headers],[Цена КП]],'WV 4.0'!$A:$N,ROW('WV 4.0'!249:249),0),0),"")</f>
        <v>0</v>
      </c>
      <c r="G260" s="27">
        <f>IFERROR(Таблица5[[#This Row],[Цена КП]]*Таблица5[[#This Row],[Кол-во]],"")</f>
        <v>0</v>
      </c>
      <c r="H260" s="42">
        <f>IFERROR(HLOOKUP(Таблица5[[#Headers],[Комментарии]],'WV 4.0'!$A:$N,ROW('WV 4.0'!249:249),0),"")</f>
        <v>0</v>
      </c>
      <c r="I260" s="42">
        <f>IFERROR(HLOOKUP(Таблица5[[#Headers],[Срок поставки]],'WV 4.0'!$A:$N,ROW('WV 4.0'!249:249),0),"")</f>
        <v>0</v>
      </c>
      <c r="J260" s="27" t="str">
        <f>IFERROR(HLOOKUP(Таблица5[[#Headers],[Цена КазНИИСА]],'WV 4.0'!$A:$N,ROW('WV 4.0'!249:249),0),"")</f>
        <v/>
      </c>
      <c r="K260" s="27" t="str">
        <f>IFERROR(HLOOKUP(Таблица5[[#Headers],[Сумма КазНИИСА]],'WV 4.0'!$A:$N,ROW('WV 4.0'!249:249),0),"")</f>
        <v/>
      </c>
      <c r="L260" s="27">
        <f>IFERROR(HLOOKUP(Таблица5[[#Headers],[Код КазНИИСА]],'WV 4.0'!$A:$N,ROW('WV 4.0'!249:249),0),"")</f>
        <v>0</v>
      </c>
      <c r="M260" s="27" t="str">
        <f>IFERROR(HLOOKUP(Таблица5[[#Headers],[РРЦ в тнг]],'WV 4.0'!$A:$N,ROW('WV 4.0'!249:249),0),"")</f>
        <v/>
      </c>
      <c r="N260" s="27" t="str">
        <f>IFERROR(HLOOKUP(Таблица5[[#Headers],[Сумма РРЦ]],'WV 4.0'!$A:$N,ROW('WV 4.0'!249:249),0),"")</f>
        <v/>
      </c>
    </row>
    <row r="261" spans="1:14" x14ac:dyDescent="0.25">
      <c r="A261" s="29">
        <f>IFERROR('WV 4.0'!A250, " ")</f>
        <v>0</v>
      </c>
      <c r="B261" s="29">
        <f>IFERROR('WV 4.0'!B250, " ")</f>
        <v>0</v>
      </c>
      <c r="C261" s="29">
        <f>IFERROR('WV 4.0'!C250, " ")</f>
        <v>0</v>
      </c>
      <c r="D261" s="29">
        <f>IFERROR('WV 4.0'!D250, " ")</f>
        <v>0</v>
      </c>
      <c r="E261" s="29">
        <f>IFERROR('WV 4.0'!E250, " ")</f>
        <v>0</v>
      </c>
      <c r="F261" s="27">
        <f>IFERROR(ROUND(HLOOKUP(Таблица5[[#Headers],[Цена КП]],'WV 4.0'!$A:$N,ROW('WV 4.0'!250:250),0),0),"")</f>
        <v>0</v>
      </c>
      <c r="G261" s="27">
        <f>IFERROR(Таблица5[[#This Row],[Цена КП]]*Таблица5[[#This Row],[Кол-во]],"")</f>
        <v>0</v>
      </c>
      <c r="H261" s="42">
        <f>IFERROR(HLOOKUP(Таблица5[[#Headers],[Комментарии]],'WV 4.0'!$A:$N,ROW('WV 4.0'!250:250),0),"")</f>
        <v>0</v>
      </c>
      <c r="I261" s="42">
        <f>IFERROR(HLOOKUP(Таблица5[[#Headers],[Срок поставки]],'WV 4.0'!$A:$N,ROW('WV 4.0'!250:250),0),"")</f>
        <v>0</v>
      </c>
      <c r="J261" s="27" t="str">
        <f>IFERROR(HLOOKUP(Таблица5[[#Headers],[Цена КазНИИСА]],'WV 4.0'!$A:$N,ROW('WV 4.0'!250:250),0),"")</f>
        <v/>
      </c>
      <c r="K261" s="27" t="str">
        <f>IFERROR(HLOOKUP(Таблица5[[#Headers],[Сумма КазНИИСА]],'WV 4.0'!$A:$N,ROW('WV 4.0'!250:250),0),"")</f>
        <v/>
      </c>
      <c r="L261" s="27">
        <f>IFERROR(HLOOKUP(Таблица5[[#Headers],[Код КазНИИСА]],'WV 4.0'!$A:$N,ROW('WV 4.0'!250:250),0),"")</f>
        <v>0</v>
      </c>
      <c r="M261" s="27" t="str">
        <f>IFERROR(HLOOKUP(Таблица5[[#Headers],[РРЦ в тнг]],'WV 4.0'!$A:$N,ROW('WV 4.0'!250:250),0),"")</f>
        <v/>
      </c>
      <c r="N261" s="27" t="str">
        <f>IFERROR(HLOOKUP(Таблица5[[#Headers],[Сумма РРЦ]],'WV 4.0'!$A:$N,ROW('WV 4.0'!250:250),0),"")</f>
        <v/>
      </c>
    </row>
    <row r="262" spans="1:14" x14ac:dyDescent="0.25">
      <c r="A262" s="29">
        <f>IFERROR('WV 4.0'!A251, " ")</f>
        <v>0</v>
      </c>
      <c r="B262" s="29">
        <f>IFERROR('WV 4.0'!B251, " ")</f>
        <v>0</v>
      </c>
      <c r="C262" s="29">
        <f>IFERROR('WV 4.0'!C251, " ")</f>
        <v>0</v>
      </c>
      <c r="D262" s="29">
        <f>IFERROR('WV 4.0'!D251, " ")</f>
        <v>0</v>
      </c>
      <c r="E262" s="29">
        <f>IFERROR('WV 4.0'!E251, " ")</f>
        <v>0</v>
      </c>
      <c r="F262" s="27">
        <f>IFERROR(ROUND(HLOOKUP(Таблица5[[#Headers],[Цена КП]],'WV 4.0'!$A:$N,ROW('WV 4.0'!251:251),0),0),"")</f>
        <v>0</v>
      </c>
      <c r="G262" s="27">
        <f>IFERROR(Таблица5[[#This Row],[Цена КП]]*Таблица5[[#This Row],[Кол-во]],"")</f>
        <v>0</v>
      </c>
      <c r="H262" s="42">
        <f>IFERROR(HLOOKUP(Таблица5[[#Headers],[Комментарии]],'WV 4.0'!$A:$N,ROW('WV 4.0'!251:251),0),"")</f>
        <v>0</v>
      </c>
      <c r="I262" s="42">
        <f>IFERROR(HLOOKUP(Таблица5[[#Headers],[Срок поставки]],'WV 4.0'!$A:$N,ROW('WV 4.0'!251:251),0),"")</f>
        <v>0</v>
      </c>
      <c r="J262" s="27" t="str">
        <f>IFERROR(HLOOKUP(Таблица5[[#Headers],[Цена КазНИИСА]],'WV 4.0'!$A:$N,ROW('WV 4.0'!251:251),0),"")</f>
        <v/>
      </c>
      <c r="K262" s="27" t="str">
        <f>IFERROR(HLOOKUP(Таблица5[[#Headers],[Сумма КазНИИСА]],'WV 4.0'!$A:$N,ROW('WV 4.0'!251:251),0),"")</f>
        <v/>
      </c>
      <c r="L262" s="27">
        <f>IFERROR(HLOOKUP(Таблица5[[#Headers],[Код КазНИИСА]],'WV 4.0'!$A:$N,ROW('WV 4.0'!251:251),0),"")</f>
        <v>0</v>
      </c>
      <c r="M262" s="27" t="str">
        <f>IFERROR(HLOOKUP(Таблица5[[#Headers],[РРЦ в тнг]],'WV 4.0'!$A:$N,ROW('WV 4.0'!251:251),0),"")</f>
        <v/>
      </c>
      <c r="N262" s="27" t="str">
        <f>IFERROR(HLOOKUP(Таблица5[[#Headers],[Сумма РРЦ]],'WV 4.0'!$A:$N,ROW('WV 4.0'!251:251),0),"")</f>
        <v/>
      </c>
    </row>
    <row r="263" spans="1:14" x14ac:dyDescent="0.25">
      <c r="A263" s="29">
        <f>IFERROR('WV 4.0'!A252, " ")</f>
        <v>0</v>
      </c>
      <c r="B263" s="29">
        <f>IFERROR('WV 4.0'!B252, " ")</f>
        <v>0</v>
      </c>
      <c r="C263" s="29">
        <f>IFERROR('WV 4.0'!C252, " ")</f>
        <v>0</v>
      </c>
      <c r="D263" s="29">
        <f>IFERROR('WV 4.0'!D252, " ")</f>
        <v>0</v>
      </c>
      <c r="E263" s="29">
        <f>IFERROR('WV 4.0'!E252, " ")</f>
        <v>0</v>
      </c>
      <c r="F263" s="27">
        <f>IFERROR(ROUND(HLOOKUP(Таблица5[[#Headers],[Цена КП]],'WV 4.0'!$A:$N,ROW('WV 4.0'!252:252),0),0),"")</f>
        <v>0</v>
      </c>
      <c r="G263" s="27">
        <f>IFERROR(Таблица5[[#This Row],[Цена КП]]*Таблица5[[#This Row],[Кол-во]],"")</f>
        <v>0</v>
      </c>
      <c r="H263" s="42">
        <f>IFERROR(HLOOKUP(Таблица5[[#Headers],[Комментарии]],'WV 4.0'!$A:$N,ROW('WV 4.0'!252:252),0),"")</f>
        <v>0</v>
      </c>
      <c r="I263" s="42">
        <f>IFERROR(HLOOKUP(Таблица5[[#Headers],[Срок поставки]],'WV 4.0'!$A:$N,ROW('WV 4.0'!252:252),0),"")</f>
        <v>0</v>
      </c>
      <c r="J263" s="27" t="str">
        <f>IFERROR(HLOOKUP(Таблица5[[#Headers],[Цена КазНИИСА]],'WV 4.0'!$A:$N,ROW('WV 4.0'!252:252),0),"")</f>
        <v/>
      </c>
      <c r="K263" s="27" t="str">
        <f>IFERROR(HLOOKUP(Таблица5[[#Headers],[Сумма КазНИИСА]],'WV 4.0'!$A:$N,ROW('WV 4.0'!252:252),0),"")</f>
        <v/>
      </c>
      <c r="L263" s="27">
        <f>IFERROR(HLOOKUP(Таблица5[[#Headers],[Код КазНИИСА]],'WV 4.0'!$A:$N,ROW('WV 4.0'!252:252),0),"")</f>
        <v>0</v>
      </c>
      <c r="M263" s="27" t="str">
        <f>IFERROR(HLOOKUP(Таблица5[[#Headers],[РРЦ в тнг]],'WV 4.0'!$A:$N,ROW('WV 4.0'!252:252),0),"")</f>
        <v/>
      </c>
      <c r="N263" s="27" t="str">
        <f>IFERROR(HLOOKUP(Таблица5[[#Headers],[Сумма РРЦ]],'WV 4.0'!$A:$N,ROW('WV 4.0'!252:252),0),"")</f>
        <v/>
      </c>
    </row>
    <row r="264" spans="1:14" x14ac:dyDescent="0.25">
      <c r="A264" s="29">
        <f>IFERROR('WV 4.0'!A253, " ")</f>
        <v>0</v>
      </c>
      <c r="B264" s="29">
        <f>IFERROR('WV 4.0'!B253, " ")</f>
        <v>0</v>
      </c>
      <c r="C264" s="29">
        <f>IFERROR('WV 4.0'!C253, " ")</f>
        <v>0</v>
      </c>
      <c r="D264" s="29">
        <f>IFERROR('WV 4.0'!D253, " ")</f>
        <v>0</v>
      </c>
      <c r="E264" s="29">
        <f>IFERROR('WV 4.0'!E253, " ")</f>
        <v>0</v>
      </c>
      <c r="F264" s="27">
        <f>IFERROR(ROUND(HLOOKUP(Таблица5[[#Headers],[Цена КП]],'WV 4.0'!$A:$N,ROW('WV 4.0'!253:253),0),0),"")</f>
        <v>0</v>
      </c>
      <c r="G264" s="27">
        <f>IFERROR(Таблица5[[#This Row],[Цена КП]]*Таблица5[[#This Row],[Кол-во]],"")</f>
        <v>0</v>
      </c>
      <c r="H264" s="42">
        <f>IFERROR(HLOOKUP(Таблица5[[#Headers],[Комментарии]],'WV 4.0'!$A:$N,ROW('WV 4.0'!253:253),0),"")</f>
        <v>0</v>
      </c>
      <c r="I264" s="42">
        <f>IFERROR(HLOOKUP(Таблица5[[#Headers],[Срок поставки]],'WV 4.0'!$A:$N,ROW('WV 4.0'!253:253),0),"")</f>
        <v>0</v>
      </c>
      <c r="J264" s="27" t="str">
        <f>IFERROR(HLOOKUP(Таблица5[[#Headers],[Цена КазНИИСА]],'WV 4.0'!$A:$N,ROW('WV 4.0'!253:253),0),"")</f>
        <v/>
      </c>
      <c r="K264" s="27" t="str">
        <f>IFERROR(HLOOKUP(Таблица5[[#Headers],[Сумма КазНИИСА]],'WV 4.0'!$A:$N,ROW('WV 4.0'!253:253),0),"")</f>
        <v/>
      </c>
      <c r="L264" s="27">
        <f>IFERROR(HLOOKUP(Таблица5[[#Headers],[Код КазНИИСА]],'WV 4.0'!$A:$N,ROW('WV 4.0'!253:253),0),"")</f>
        <v>0</v>
      </c>
      <c r="M264" s="27" t="str">
        <f>IFERROR(HLOOKUP(Таблица5[[#Headers],[РРЦ в тнг]],'WV 4.0'!$A:$N,ROW('WV 4.0'!253:253),0),"")</f>
        <v/>
      </c>
      <c r="N264" s="27" t="str">
        <f>IFERROR(HLOOKUP(Таблица5[[#Headers],[Сумма РРЦ]],'WV 4.0'!$A:$N,ROW('WV 4.0'!253:253),0),"")</f>
        <v/>
      </c>
    </row>
    <row r="265" spans="1:14" x14ac:dyDescent="0.25">
      <c r="A265" s="29">
        <f>IFERROR('WV 4.0'!A254, " ")</f>
        <v>0</v>
      </c>
      <c r="B265" s="29">
        <f>IFERROR('WV 4.0'!B254, " ")</f>
        <v>0</v>
      </c>
      <c r="C265" s="29">
        <f>IFERROR('WV 4.0'!C254, " ")</f>
        <v>0</v>
      </c>
      <c r="D265" s="29">
        <f>IFERROR('WV 4.0'!D254, " ")</f>
        <v>0</v>
      </c>
      <c r="E265" s="29">
        <f>IFERROR('WV 4.0'!E254, " ")</f>
        <v>0</v>
      </c>
      <c r="F265" s="27">
        <f>IFERROR(ROUND(HLOOKUP(Таблица5[[#Headers],[Цена КП]],'WV 4.0'!$A:$N,ROW('WV 4.0'!254:254),0),0),"")</f>
        <v>0</v>
      </c>
      <c r="G265" s="27">
        <f>IFERROR(Таблица5[[#This Row],[Цена КП]]*Таблица5[[#This Row],[Кол-во]],"")</f>
        <v>0</v>
      </c>
      <c r="H265" s="42">
        <f>IFERROR(HLOOKUP(Таблица5[[#Headers],[Комментарии]],'WV 4.0'!$A:$N,ROW('WV 4.0'!254:254),0),"")</f>
        <v>0</v>
      </c>
      <c r="I265" s="42">
        <f>IFERROR(HLOOKUP(Таблица5[[#Headers],[Срок поставки]],'WV 4.0'!$A:$N,ROW('WV 4.0'!254:254),0),"")</f>
        <v>0</v>
      </c>
      <c r="J265" s="27" t="str">
        <f>IFERROR(HLOOKUP(Таблица5[[#Headers],[Цена КазНИИСА]],'WV 4.0'!$A:$N,ROW('WV 4.0'!254:254),0),"")</f>
        <v/>
      </c>
      <c r="K265" s="27" t="str">
        <f>IFERROR(HLOOKUP(Таблица5[[#Headers],[Сумма КазНИИСА]],'WV 4.0'!$A:$N,ROW('WV 4.0'!254:254),0),"")</f>
        <v/>
      </c>
      <c r="L265" s="27">
        <f>IFERROR(HLOOKUP(Таблица5[[#Headers],[Код КазНИИСА]],'WV 4.0'!$A:$N,ROW('WV 4.0'!254:254),0),"")</f>
        <v>0</v>
      </c>
      <c r="M265" s="27" t="str">
        <f>IFERROR(HLOOKUP(Таблица5[[#Headers],[РРЦ в тнг]],'WV 4.0'!$A:$N,ROW('WV 4.0'!254:254),0),"")</f>
        <v/>
      </c>
      <c r="N265" s="27" t="str">
        <f>IFERROR(HLOOKUP(Таблица5[[#Headers],[Сумма РРЦ]],'WV 4.0'!$A:$N,ROW('WV 4.0'!254:254),0),"")</f>
        <v/>
      </c>
    </row>
    <row r="266" spans="1:14" x14ac:dyDescent="0.25">
      <c r="A266" s="29">
        <f>IFERROR('WV 4.0'!A255, " ")</f>
        <v>0</v>
      </c>
      <c r="B266" s="29">
        <f>IFERROR('WV 4.0'!B255, " ")</f>
        <v>0</v>
      </c>
      <c r="C266" s="29">
        <f>IFERROR('WV 4.0'!C255, " ")</f>
        <v>0</v>
      </c>
      <c r="D266" s="29">
        <f>IFERROR('WV 4.0'!D255, " ")</f>
        <v>0</v>
      </c>
      <c r="E266" s="29">
        <f>IFERROR('WV 4.0'!E255, " ")</f>
        <v>0</v>
      </c>
      <c r="F266" s="27">
        <f>IFERROR(ROUND(HLOOKUP(Таблица5[[#Headers],[Цена КП]],'WV 4.0'!$A:$N,ROW('WV 4.0'!255:255),0),0),"")</f>
        <v>0</v>
      </c>
      <c r="G266" s="27">
        <f>IFERROR(Таблица5[[#This Row],[Цена КП]]*Таблица5[[#This Row],[Кол-во]],"")</f>
        <v>0</v>
      </c>
      <c r="H266" s="42">
        <f>IFERROR(HLOOKUP(Таблица5[[#Headers],[Комментарии]],'WV 4.0'!$A:$N,ROW('WV 4.0'!255:255),0),"")</f>
        <v>0</v>
      </c>
      <c r="I266" s="42">
        <f>IFERROR(HLOOKUP(Таблица5[[#Headers],[Срок поставки]],'WV 4.0'!$A:$N,ROW('WV 4.0'!255:255),0),"")</f>
        <v>0</v>
      </c>
      <c r="J266" s="27" t="str">
        <f>IFERROR(HLOOKUP(Таблица5[[#Headers],[Цена КазНИИСА]],'WV 4.0'!$A:$N,ROW('WV 4.0'!255:255),0),"")</f>
        <v/>
      </c>
      <c r="K266" s="27" t="str">
        <f>IFERROR(HLOOKUP(Таблица5[[#Headers],[Сумма КазНИИСА]],'WV 4.0'!$A:$N,ROW('WV 4.0'!255:255),0),"")</f>
        <v/>
      </c>
      <c r="L266" s="27">
        <f>IFERROR(HLOOKUP(Таблица5[[#Headers],[Код КазНИИСА]],'WV 4.0'!$A:$N,ROW('WV 4.0'!255:255),0),"")</f>
        <v>0</v>
      </c>
      <c r="M266" s="27" t="str">
        <f>IFERROR(HLOOKUP(Таблица5[[#Headers],[РРЦ в тнг]],'WV 4.0'!$A:$N,ROW('WV 4.0'!255:255),0),"")</f>
        <v/>
      </c>
      <c r="N266" s="27" t="str">
        <f>IFERROR(HLOOKUP(Таблица5[[#Headers],[Сумма РРЦ]],'WV 4.0'!$A:$N,ROW('WV 4.0'!255:255),0),"")</f>
        <v/>
      </c>
    </row>
    <row r="267" spans="1:14" x14ac:dyDescent="0.25">
      <c r="A267" s="29">
        <f>IFERROR('WV 4.0'!A256, " ")</f>
        <v>0</v>
      </c>
      <c r="B267" s="29">
        <f>IFERROR('WV 4.0'!B256, " ")</f>
        <v>0</v>
      </c>
      <c r="C267" s="29">
        <f>IFERROR('WV 4.0'!C256, " ")</f>
        <v>0</v>
      </c>
      <c r="D267" s="29">
        <f>IFERROR('WV 4.0'!D256, " ")</f>
        <v>0</v>
      </c>
      <c r="E267" s="29">
        <f>IFERROR('WV 4.0'!E256, " ")</f>
        <v>0</v>
      </c>
      <c r="F267" s="27">
        <f>IFERROR(ROUND(HLOOKUP(Таблица5[[#Headers],[Цена КП]],'WV 4.0'!$A:$N,ROW('WV 4.0'!256:256),0),0),"")</f>
        <v>0</v>
      </c>
      <c r="G267" s="27">
        <f>IFERROR(Таблица5[[#This Row],[Цена КП]]*Таблица5[[#This Row],[Кол-во]],"")</f>
        <v>0</v>
      </c>
      <c r="H267" s="42">
        <f>IFERROR(HLOOKUP(Таблица5[[#Headers],[Комментарии]],'WV 4.0'!$A:$N,ROW('WV 4.0'!256:256),0),"")</f>
        <v>0</v>
      </c>
      <c r="I267" s="42">
        <f>IFERROR(HLOOKUP(Таблица5[[#Headers],[Срок поставки]],'WV 4.0'!$A:$N,ROW('WV 4.0'!256:256),0),"")</f>
        <v>0</v>
      </c>
      <c r="J267" s="27" t="str">
        <f>IFERROR(HLOOKUP(Таблица5[[#Headers],[Цена КазНИИСА]],'WV 4.0'!$A:$N,ROW('WV 4.0'!256:256),0),"")</f>
        <v/>
      </c>
      <c r="K267" s="27" t="str">
        <f>IFERROR(HLOOKUP(Таблица5[[#Headers],[Сумма КазНИИСА]],'WV 4.0'!$A:$N,ROW('WV 4.0'!256:256),0),"")</f>
        <v/>
      </c>
      <c r="L267" s="27">
        <f>IFERROR(HLOOKUP(Таблица5[[#Headers],[Код КазНИИСА]],'WV 4.0'!$A:$N,ROW('WV 4.0'!256:256),0),"")</f>
        <v>0</v>
      </c>
      <c r="M267" s="27" t="str">
        <f>IFERROR(HLOOKUP(Таблица5[[#Headers],[РРЦ в тнг]],'WV 4.0'!$A:$N,ROW('WV 4.0'!256:256),0),"")</f>
        <v/>
      </c>
      <c r="N267" s="27" t="str">
        <f>IFERROR(HLOOKUP(Таблица5[[#Headers],[Сумма РРЦ]],'WV 4.0'!$A:$N,ROW('WV 4.0'!256:256),0),"")</f>
        <v/>
      </c>
    </row>
    <row r="268" spans="1:14" x14ac:dyDescent="0.25">
      <c r="A268" s="29">
        <f>IFERROR('WV 4.0'!A257, " ")</f>
        <v>0</v>
      </c>
      <c r="B268" s="29">
        <f>IFERROR('WV 4.0'!B257, " ")</f>
        <v>0</v>
      </c>
      <c r="C268" s="29">
        <f>IFERROR('WV 4.0'!C257, " ")</f>
        <v>0</v>
      </c>
      <c r="D268" s="29">
        <f>IFERROR('WV 4.0'!D257, " ")</f>
        <v>0</v>
      </c>
      <c r="E268" s="29">
        <f>IFERROR('WV 4.0'!E257, " ")</f>
        <v>0</v>
      </c>
      <c r="F268" s="27">
        <f>IFERROR(ROUND(HLOOKUP(Таблица5[[#Headers],[Цена КП]],'WV 4.0'!$A:$N,ROW('WV 4.0'!257:257),0),0),"")</f>
        <v>0</v>
      </c>
      <c r="G268" s="27">
        <f>IFERROR(Таблица5[[#This Row],[Цена КП]]*Таблица5[[#This Row],[Кол-во]],"")</f>
        <v>0</v>
      </c>
      <c r="H268" s="42">
        <f>IFERROR(HLOOKUP(Таблица5[[#Headers],[Комментарии]],'WV 4.0'!$A:$N,ROW('WV 4.0'!257:257),0),"")</f>
        <v>0</v>
      </c>
      <c r="I268" s="42">
        <f>IFERROR(HLOOKUP(Таблица5[[#Headers],[Срок поставки]],'WV 4.0'!$A:$N,ROW('WV 4.0'!257:257),0),"")</f>
        <v>0</v>
      </c>
      <c r="J268" s="27" t="str">
        <f>IFERROR(HLOOKUP(Таблица5[[#Headers],[Цена КазНИИСА]],'WV 4.0'!$A:$N,ROW('WV 4.0'!257:257),0),"")</f>
        <v/>
      </c>
      <c r="K268" s="27" t="str">
        <f>IFERROR(HLOOKUP(Таблица5[[#Headers],[Сумма КазНИИСА]],'WV 4.0'!$A:$N,ROW('WV 4.0'!257:257),0),"")</f>
        <v/>
      </c>
      <c r="L268" s="27">
        <f>IFERROR(HLOOKUP(Таблица5[[#Headers],[Код КазНИИСА]],'WV 4.0'!$A:$N,ROW('WV 4.0'!257:257),0),"")</f>
        <v>0</v>
      </c>
      <c r="M268" s="27" t="str">
        <f>IFERROR(HLOOKUP(Таблица5[[#Headers],[РРЦ в тнг]],'WV 4.0'!$A:$N,ROW('WV 4.0'!257:257),0),"")</f>
        <v/>
      </c>
      <c r="N268" s="27" t="str">
        <f>IFERROR(HLOOKUP(Таблица5[[#Headers],[Сумма РРЦ]],'WV 4.0'!$A:$N,ROW('WV 4.0'!257:257),0),"")</f>
        <v/>
      </c>
    </row>
    <row r="269" spans="1:14" x14ac:dyDescent="0.25">
      <c r="A269" s="29">
        <f>IFERROR('WV 4.0'!A258, " ")</f>
        <v>0</v>
      </c>
      <c r="B269" s="29">
        <f>IFERROR('WV 4.0'!B258, " ")</f>
        <v>0</v>
      </c>
      <c r="C269" s="29">
        <f>IFERROR('WV 4.0'!C258, " ")</f>
        <v>0</v>
      </c>
      <c r="D269" s="29">
        <f>IFERROR('WV 4.0'!D258, " ")</f>
        <v>0</v>
      </c>
      <c r="E269" s="29">
        <f>IFERROR('WV 4.0'!E258, " ")</f>
        <v>0</v>
      </c>
      <c r="F269" s="27">
        <f>IFERROR(ROUND(HLOOKUP(Таблица5[[#Headers],[Цена КП]],'WV 4.0'!$A:$N,ROW('WV 4.0'!258:258),0),0),"")</f>
        <v>0</v>
      </c>
      <c r="G269" s="27">
        <f>IFERROR(Таблица5[[#This Row],[Цена КП]]*Таблица5[[#This Row],[Кол-во]],"")</f>
        <v>0</v>
      </c>
      <c r="H269" s="42">
        <f>IFERROR(HLOOKUP(Таблица5[[#Headers],[Комментарии]],'WV 4.0'!$A:$N,ROW('WV 4.0'!258:258),0),"")</f>
        <v>0</v>
      </c>
      <c r="I269" s="42">
        <f>IFERROR(HLOOKUP(Таблица5[[#Headers],[Срок поставки]],'WV 4.0'!$A:$N,ROW('WV 4.0'!258:258),0),"")</f>
        <v>0</v>
      </c>
      <c r="J269" s="27" t="str">
        <f>IFERROR(HLOOKUP(Таблица5[[#Headers],[Цена КазНИИСА]],'WV 4.0'!$A:$N,ROW('WV 4.0'!258:258),0),"")</f>
        <v/>
      </c>
      <c r="K269" s="27" t="str">
        <f>IFERROR(HLOOKUP(Таблица5[[#Headers],[Сумма КазНИИСА]],'WV 4.0'!$A:$N,ROW('WV 4.0'!258:258),0),"")</f>
        <v/>
      </c>
      <c r="L269" s="27">
        <f>IFERROR(HLOOKUP(Таблица5[[#Headers],[Код КазНИИСА]],'WV 4.0'!$A:$N,ROW('WV 4.0'!258:258),0),"")</f>
        <v>0</v>
      </c>
      <c r="M269" s="27" t="str">
        <f>IFERROR(HLOOKUP(Таблица5[[#Headers],[РРЦ в тнг]],'WV 4.0'!$A:$N,ROW('WV 4.0'!258:258),0),"")</f>
        <v/>
      </c>
      <c r="N269" s="27" t="str">
        <f>IFERROR(HLOOKUP(Таблица5[[#Headers],[Сумма РРЦ]],'WV 4.0'!$A:$N,ROW('WV 4.0'!258:258),0),"")</f>
        <v/>
      </c>
    </row>
    <row r="270" spans="1:14" x14ac:dyDescent="0.25">
      <c r="A270" s="29">
        <f>IFERROR('WV 4.0'!A259, " ")</f>
        <v>0</v>
      </c>
      <c r="B270" s="29">
        <f>IFERROR('WV 4.0'!B259, " ")</f>
        <v>0</v>
      </c>
      <c r="C270" s="29">
        <f>IFERROR('WV 4.0'!C259, " ")</f>
        <v>0</v>
      </c>
      <c r="D270" s="29">
        <f>IFERROR('WV 4.0'!D259, " ")</f>
        <v>0</v>
      </c>
      <c r="E270" s="29">
        <f>IFERROR('WV 4.0'!E259, " ")</f>
        <v>0</v>
      </c>
      <c r="F270" s="27">
        <f>IFERROR(ROUND(HLOOKUP(Таблица5[[#Headers],[Цена КП]],'WV 4.0'!$A:$N,ROW('WV 4.0'!259:259),0),0),"")</f>
        <v>0</v>
      </c>
      <c r="G270" s="27">
        <f>IFERROR(Таблица5[[#This Row],[Цена КП]]*Таблица5[[#This Row],[Кол-во]],"")</f>
        <v>0</v>
      </c>
      <c r="H270" s="42">
        <f>IFERROR(HLOOKUP(Таблица5[[#Headers],[Комментарии]],'WV 4.0'!$A:$N,ROW('WV 4.0'!259:259),0),"")</f>
        <v>0</v>
      </c>
      <c r="I270" s="42">
        <f>IFERROR(HLOOKUP(Таблица5[[#Headers],[Срок поставки]],'WV 4.0'!$A:$N,ROW('WV 4.0'!259:259),0),"")</f>
        <v>0</v>
      </c>
      <c r="J270" s="27" t="str">
        <f>IFERROR(HLOOKUP(Таблица5[[#Headers],[Цена КазНИИСА]],'WV 4.0'!$A:$N,ROW('WV 4.0'!259:259),0),"")</f>
        <v/>
      </c>
      <c r="K270" s="27" t="str">
        <f>IFERROR(HLOOKUP(Таблица5[[#Headers],[Сумма КазНИИСА]],'WV 4.0'!$A:$N,ROW('WV 4.0'!259:259),0),"")</f>
        <v/>
      </c>
      <c r="L270" s="27">
        <f>IFERROR(HLOOKUP(Таблица5[[#Headers],[Код КазНИИСА]],'WV 4.0'!$A:$N,ROW('WV 4.0'!259:259),0),"")</f>
        <v>0</v>
      </c>
      <c r="M270" s="27" t="str">
        <f>IFERROR(HLOOKUP(Таблица5[[#Headers],[РРЦ в тнг]],'WV 4.0'!$A:$N,ROW('WV 4.0'!259:259),0),"")</f>
        <v/>
      </c>
      <c r="N270" s="27" t="str">
        <f>IFERROR(HLOOKUP(Таблица5[[#Headers],[Сумма РРЦ]],'WV 4.0'!$A:$N,ROW('WV 4.0'!259:259),0),"")</f>
        <v/>
      </c>
    </row>
    <row r="271" spans="1:14" x14ac:dyDescent="0.25">
      <c r="A271" s="29">
        <f>IFERROR('WV 4.0'!A260, " ")</f>
        <v>0</v>
      </c>
      <c r="B271" s="29">
        <f>IFERROR('WV 4.0'!B260, " ")</f>
        <v>0</v>
      </c>
      <c r="C271" s="29">
        <f>IFERROR('WV 4.0'!C260, " ")</f>
        <v>0</v>
      </c>
      <c r="D271" s="29">
        <f>IFERROR('WV 4.0'!D260, " ")</f>
        <v>0</v>
      </c>
      <c r="E271" s="29">
        <f>IFERROR('WV 4.0'!E260, " ")</f>
        <v>0</v>
      </c>
      <c r="F271" s="27">
        <f>IFERROR(ROUND(HLOOKUP(Таблица5[[#Headers],[Цена КП]],'WV 4.0'!$A:$N,ROW('WV 4.0'!260:260),0),0),"")</f>
        <v>0</v>
      </c>
      <c r="G271" s="27">
        <f>IFERROR(Таблица5[[#This Row],[Цена КП]]*Таблица5[[#This Row],[Кол-во]],"")</f>
        <v>0</v>
      </c>
      <c r="H271" s="42">
        <f>IFERROR(HLOOKUP(Таблица5[[#Headers],[Комментарии]],'WV 4.0'!$A:$N,ROW('WV 4.0'!260:260),0),"")</f>
        <v>0</v>
      </c>
      <c r="I271" s="42">
        <f>IFERROR(HLOOKUP(Таблица5[[#Headers],[Срок поставки]],'WV 4.0'!$A:$N,ROW('WV 4.0'!260:260),0),"")</f>
        <v>0</v>
      </c>
      <c r="J271" s="27" t="str">
        <f>IFERROR(HLOOKUP(Таблица5[[#Headers],[Цена КазНИИСА]],'WV 4.0'!$A:$N,ROW('WV 4.0'!260:260),0),"")</f>
        <v/>
      </c>
      <c r="K271" s="27" t="str">
        <f>IFERROR(HLOOKUP(Таблица5[[#Headers],[Сумма КазНИИСА]],'WV 4.0'!$A:$N,ROW('WV 4.0'!260:260),0),"")</f>
        <v/>
      </c>
      <c r="L271" s="27">
        <f>IFERROR(HLOOKUP(Таблица5[[#Headers],[Код КазНИИСА]],'WV 4.0'!$A:$N,ROW('WV 4.0'!260:260),0),"")</f>
        <v>0</v>
      </c>
      <c r="M271" s="27" t="str">
        <f>IFERROR(HLOOKUP(Таблица5[[#Headers],[РРЦ в тнг]],'WV 4.0'!$A:$N,ROW('WV 4.0'!260:260),0),"")</f>
        <v/>
      </c>
      <c r="N271" s="27" t="str">
        <f>IFERROR(HLOOKUP(Таблица5[[#Headers],[Сумма РРЦ]],'WV 4.0'!$A:$N,ROW('WV 4.0'!260:260),0),"")</f>
        <v/>
      </c>
    </row>
    <row r="272" spans="1:14" x14ac:dyDescent="0.25">
      <c r="A272" s="29">
        <f>IFERROR('WV 4.0'!A261, " ")</f>
        <v>0</v>
      </c>
      <c r="B272" s="29">
        <f>IFERROR('WV 4.0'!B261, " ")</f>
        <v>0</v>
      </c>
      <c r="C272" s="29">
        <f>IFERROR('WV 4.0'!C261, " ")</f>
        <v>0</v>
      </c>
      <c r="D272" s="29">
        <f>IFERROR('WV 4.0'!D261, " ")</f>
        <v>0</v>
      </c>
      <c r="E272" s="29">
        <f>IFERROR('WV 4.0'!E261, " ")</f>
        <v>0</v>
      </c>
      <c r="F272" s="27">
        <f>IFERROR(ROUND(HLOOKUP(Таблица5[[#Headers],[Цена КП]],'WV 4.0'!$A:$N,ROW('WV 4.0'!261:261),0),0),"")</f>
        <v>0</v>
      </c>
      <c r="G272" s="27">
        <f>IFERROR(Таблица5[[#This Row],[Цена КП]]*Таблица5[[#This Row],[Кол-во]],"")</f>
        <v>0</v>
      </c>
      <c r="H272" s="42">
        <f>IFERROR(HLOOKUP(Таблица5[[#Headers],[Комментарии]],'WV 4.0'!$A:$N,ROW('WV 4.0'!261:261),0),"")</f>
        <v>0</v>
      </c>
      <c r="I272" s="42">
        <f>IFERROR(HLOOKUP(Таблица5[[#Headers],[Срок поставки]],'WV 4.0'!$A:$N,ROW('WV 4.0'!261:261),0),"")</f>
        <v>0</v>
      </c>
      <c r="J272" s="27" t="str">
        <f>IFERROR(HLOOKUP(Таблица5[[#Headers],[Цена КазНИИСА]],'WV 4.0'!$A:$N,ROW('WV 4.0'!261:261),0),"")</f>
        <v/>
      </c>
      <c r="K272" s="27" t="str">
        <f>IFERROR(HLOOKUP(Таблица5[[#Headers],[Сумма КазНИИСА]],'WV 4.0'!$A:$N,ROW('WV 4.0'!261:261),0),"")</f>
        <v/>
      </c>
      <c r="L272" s="27">
        <f>IFERROR(HLOOKUP(Таблица5[[#Headers],[Код КазНИИСА]],'WV 4.0'!$A:$N,ROW('WV 4.0'!261:261),0),"")</f>
        <v>0</v>
      </c>
      <c r="M272" s="27" t="str">
        <f>IFERROR(HLOOKUP(Таблица5[[#Headers],[РРЦ в тнг]],'WV 4.0'!$A:$N,ROW('WV 4.0'!261:261),0),"")</f>
        <v/>
      </c>
      <c r="N272" s="27" t="str">
        <f>IFERROR(HLOOKUP(Таблица5[[#Headers],[Сумма РРЦ]],'WV 4.0'!$A:$N,ROW('WV 4.0'!261:261),0),"")</f>
        <v/>
      </c>
    </row>
    <row r="273" spans="1:14" x14ac:dyDescent="0.25">
      <c r="A273" s="29">
        <f>IFERROR('WV 4.0'!A262, " ")</f>
        <v>0</v>
      </c>
      <c r="B273" s="29">
        <f>IFERROR('WV 4.0'!B262, " ")</f>
        <v>0</v>
      </c>
      <c r="C273" s="29">
        <f>IFERROR('WV 4.0'!C262, " ")</f>
        <v>0</v>
      </c>
      <c r="D273" s="29">
        <f>IFERROR('WV 4.0'!D262, " ")</f>
        <v>0</v>
      </c>
      <c r="E273" s="29">
        <f>IFERROR('WV 4.0'!E262, " ")</f>
        <v>0</v>
      </c>
      <c r="F273" s="27">
        <f>IFERROR(ROUND(HLOOKUP(Таблица5[[#Headers],[Цена КП]],'WV 4.0'!$A:$N,ROW('WV 4.0'!262:262),0),0),"")</f>
        <v>0</v>
      </c>
      <c r="G273" s="27">
        <f>IFERROR(Таблица5[[#This Row],[Цена КП]]*Таблица5[[#This Row],[Кол-во]],"")</f>
        <v>0</v>
      </c>
      <c r="H273" s="42">
        <f>IFERROR(HLOOKUP(Таблица5[[#Headers],[Комментарии]],'WV 4.0'!$A:$N,ROW('WV 4.0'!262:262),0),"")</f>
        <v>0</v>
      </c>
      <c r="I273" s="42">
        <f>IFERROR(HLOOKUP(Таблица5[[#Headers],[Срок поставки]],'WV 4.0'!$A:$N,ROW('WV 4.0'!262:262),0),"")</f>
        <v>0</v>
      </c>
      <c r="J273" s="27" t="str">
        <f>IFERROR(HLOOKUP(Таблица5[[#Headers],[Цена КазНИИСА]],'WV 4.0'!$A:$N,ROW('WV 4.0'!262:262),0),"")</f>
        <v/>
      </c>
      <c r="K273" s="27" t="str">
        <f>IFERROR(HLOOKUP(Таблица5[[#Headers],[Сумма КазНИИСА]],'WV 4.0'!$A:$N,ROW('WV 4.0'!262:262),0),"")</f>
        <v/>
      </c>
      <c r="L273" s="27">
        <f>IFERROR(HLOOKUP(Таблица5[[#Headers],[Код КазНИИСА]],'WV 4.0'!$A:$N,ROW('WV 4.0'!262:262),0),"")</f>
        <v>0</v>
      </c>
      <c r="M273" s="27" t="str">
        <f>IFERROR(HLOOKUP(Таблица5[[#Headers],[РРЦ в тнг]],'WV 4.0'!$A:$N,ROW('WV 4.0'!262:262),0),"")</f>
        <v/>
      </c>
      <c r="N273" s="27" t="str">
        <f>IFERROR(HLOOKUP(Таблица5[[#Headers],[Сумма РРЦ]],'WV 4.0'!$A:$N,ROW('WV 4.0'!262:262),0),"")</f>
        <v/>
      </c>
    </row>
    <row r="274" spans="1:14" x14ac:dyDescent="0.25">
      <c r="A274" s="29">
        <f>IFERROR('WV 4.0'!A263, " ")</f>
        <v>0</v>
      </c>
      <c r="B274" s="29">
        <f>IFERROR('WV 4.0'!B263, " ")</f>
        <v>0</v>
      </c>
      <c r="C274" s="29">
        <f>IFERROR('WV 4.0'!C263, " ")</f>
        <v>0</v>
      </c>
      <c r="D274" s="29">
        <f>IFERROR('WV 4.0'!D263, " ")</f>
        <v>0</v>
      </c>
      <c r="E274" s="29">
        <f>IFERROR('WV 4.0'!E263, " ")</f>
        <v>0</v>
      </c>
      <c r="F274" s="27">
        <f>IFERROR(ROUND(HLOOKUP(Таблица5[[#Headers],[Цена КП]],'WV 4.0'!$A:$N,ROW('WV 4.0'!263:263),0),0),"")</f>
        <v>0</v>
      </c>
      <c r="G274" s="27">
        <f>IFERROR(Таблица5[[#This Row],[Цена КП]]*Таблица5[[#This Row],[Кол-во]],"")</f>
        <v>0</v>
      </c>
      <c r="H274" s="42">
        <f>IFERROR(HLOOKUP(Таблица5[[#Headers],[Комментарии]],'WV 4.0'!$A:$N,ROW('WV 4.0'!263:263),0),"")</f>
        <v>0</v>
      </c>
      <c r="I274" s="42">
        <f>IFERROR(HLOOKUP(Таблица5[[#Headers],[Срок поставки]],'WV 4.0'!$A:$N,ROW('WV 4.0'!263:263),0),"")</f>
        <v>0</v>
      </c>
      <c r="J274" s="27" t="str">
        <f>IFERROR(HLOOKUP(Таблица5[[#Headers],[Цена КазНИИСА]],'WV 4.0'!$A:$N,ROW('WV 4.0'!263:263),0),"")</f>
        <v/>
      </c>
      <c r="K274" s="27" t="str">
        <f>IFERROR(HLOOKUP(Таблица5[[#Headers],[Сумма КазНИИСА]],'WV 4.0'!$A:$N,ROW('WV 4.0'!263:263),0),"")</f>
        <v/>
      </c>
      <c r="L274" s="27">
        <f>IFERROR(HLOOKUP(Таблица5[[#Headers],[Код КазНИИСА]],'WV 4.0'!$A:$N,ROW('WV 4.0'!263:263),0),"")</f>
        <v>0</v>
      </c>
      <c r="M274" s="27" t="str">
        <f>IFERROR(HLOOKUP(Таблица5[[#Headers],[РРЦ в тнг]],'WV 4.0'!$A:$N,ROW('WV 4.0'!263:263),0),"")</f>
        <v/>
      </c>
      <c r="N274" s="27" t="str">
        <f>IFERROR(HLOOKUP(Таблица5[[#Headers],[Сумма РРЦ]],'WV 4.0'!$A:$N,ROW('WV 4.0'!263:263),0),"")</f>
        <v/>
      </c>
    </row>
    <row r="275" spans="1:14" x14ac:dyDescent="0.25">
      <c r="A275" s="29">
        <f>IFERROR('WV 4.0'!A264, " ")</f>
        <v>0</v>
      </c>
      <c r="B275" s="29">
        <f>IFERROR('WV 4.0'!B264, " ")</f>
        <v>0</v>
      </c>
      <c r="C275" s="29">
        <f>IFERROR('WV 4.0'!C264, " ")</f>
        <v>0</v>
      </c>
      <c r="D275" s="29">
        <f>IFERROR('WV 4.0'!D264, " ")</f>
        <v>0</v>
      </c>
      <c r="E275" s="29">
        <f>IFERROR('WV 4.0'!E264, " ")</f>
        <v>0</v>
      </c>
      <c r="F275" s="27">
        <f>IFERROR(ROUND(HLOOKUP(Таблица5[[#Headers],[Цена КП]],'WV 4.0'!$A:$N,ROW('WV 4.0'!264:264),0),0),"")</f>
        <v>0</v>
      </c>
      <c r="G275" s="27">
        <f>IFERROR(Таблица5[[#This Row],[Цена КП]]*Таблица5[[#This Row],[Кол-во]],"")</f>
        <v>0</v>
      </c>
      <c r="H275" s="42">
        <f>IFERROR(HLOOKUP(Таблица5[[#Headers],[Комментарии]],'WV 4.0'!$A:$N,ROW('WV 4.0'!264:264),0),"")</f>
        <v>0</v>
      </c>
      <c r="I275" s="42">
        <f>IFERROR(HLOOKUP(Таблица5[[#Headers],[Срок поставки]],'WV 4.0'!$A:$N,ROW('WV 4.0'!264:264),0),"")</f>
        <v>0</v>
      </c>
      <c r="J275" s="27" t="str">
        <f>IFERROR(HLOOKUP(Таблица5[[#Headers],[Цена КазНИИСА]],'WV 4.0'!$A:$N,ROW('WV 4.0'!264:264),0),"")</f>
        <v/>
      </c>
      <c r="K275" s="27" t="str">
        <f>IFERROR(HLOOKUP(Таблица5[[#Headers],[Сумма КазНИИСА]],'WV 4.0'!$A:$N,ROW('WV 4.0'!264:264),0),"")</f>
        <v/>
      </c>
      <c r="L275" s="27">
        <f>IFERROR(HLOOKUP(Таблица5[[#Headers],[Код КазНИИСА]],'WV 4.0'!$A:$N,ROW('WV 4.0'!264:264),0),"")</f>
        <v>0</v>
      </c>
      <c r="M275" s="27" t="str">
        <f>IFERROR(HLOOKUP(Таблица5[[#Headers],[РРЦ в тнг]],'WV 4.0'!$A:$N,ROW('WV 4.0'!264:264),0),"")</f>
        <v/>
      </c>
      <c r="N275" s="27" t="str">
        <f>IFERROR(HLOOKUP(Таблица5[[#Headers],[Сумма РРЦ]],'WV 4.0'!$A:$N,ROW('WV 4.0'!264:264),0),"")</f>
        <v/>
      </c>
    </row>
    <row r="276" spans="1:14" x14ac:dyDescent="0.25">
      <c r="A276" s="29">
        <f>IFERROR('WV 4.0'!A265, " ")</f>
        <v>0</v>
      </c>
      <c r="B276" s="29">
        <f>IFERROR('WV 4.0'!B265, " ")</f>
        <v>0</v>
      </c>
      <c r="C276" s="29">
        <f>IFERROR('WV 4.0'!C265, " ")</f>
        <v>0</v>
      </c>
      <c r="D276" s="29">
        <f>IFERROR('WV 4.0'!D265, " ")</f>
        <v>0</v>
      </c>
      <c r="E276" s="29">
        <f>IFERROR('WV 4.0'!E265, " ")</f>
        <v>0</v>
      </c>
      <c r="F276" s="27">
        <f>IFERROR(ROUND(HLOOKUP(Таблица5[[#Headers],[Цена КП]],'WV 4.0'!$A:$N,ROW('WV 4.0'!265:265),0),0),"")</f>
        <v>0</v>
      </c>
      <c r="G276" s="27">
        <f>IFERROR(Таблица5[[#This Row],[Цена КП]]*Таблица5[[#This Row],[Кол-во]],"")</f>
        <v>0</v>
      </c>
      <c r="H276" s="42">
        <f>IFERROR(HLOOKUP(Таблица5[[#Headers],[Комментарии]],'WV 4.0'!$A:$N,ROW('WV 4.0'!265:265),0),"")</f>
        <v>0</v>
      </c>
      <c r="I276" s="42">
        <f>IFERROR(HLOOKUP(Таблица5[[#Headers],[Срок поставки]],'WV 4.0'!$A:$N,ROW('WV 4.0'!265:265),0),"")</f>
        <v>0</v>
      </c>
      <c r="J276" s="27" t="str">
        <f>IFERROR(HLOOKUP(Таблица5[[#Headers],[Цена КазНИИСА]],'WV 4.0'!$A:$N,ROW('WV 4.0'!265:265),0),"")</f>
        <v/>
      </c>
      <c r="K276" s="27" t="str">
        <f>IFERROR(HLOOKUP(Таблица5[[#Headers],[Сумма КазНИИСА]],'WV 4.0'!$A:$N,ROW('WV 4.0'!265:265),0),"")</f>
        <v/>
      </c>
      <c r="L276" s="27">
        <f>IFERROR(HLOOKUP(Таблица5[[#Headers],[Код КазНИИСА]],'WV 4.0'!$A:$N,ROW('WV 4.0'!265:265),0),"")</f>
        <v>0</v>
      </c>
      <c r="M276" s="27" t="str">
        <f>IFERROR(HLOOKUP(Таблица5[[#Headers],[РРЦ в тнг]],'WV 4.0'!$A:$N,ROW('WV 4.0'!265:265),0),"")</f>
        <v/>
      </c>
      <c r="N276" s="27" t="str">
        <f>IFERROR(HLOOKUP(Таблица5[[#Headers],[Сумма РРЦ]],'WV 4.0'!$A:$N,ROW('WV 4.0'!265:265),0),"")</f>
        <v/>
      </c>
    </row>
    <row r="277" spans="1:14" x14ac:dyDescent="0.25">
      <c r="A277" s="29">
        <f>IFERROR('WV 4.0'!A266, " ")</f>
        <v>0</v>
      </c>
      <c r="B277" s="29">
        <f>IFERROR('WV 4.0'!B266, " ")</f>
        <v>0</v>
      </c>
      <c r="C277" s="29">
        <f>IFERROR('WV 4.0'!C266, " ")</f>
        <v>0</v>
      </c>
      <c r="D277" s="29">
        <f>IFERROR('WV 4.0'!D266, " ")</f>
        <v>0</v>
      </c>
      <c r="E277" s="29">
        <f>IFERROR('WV 4.0'!E266, " ")</f>
        <v>0</v>
      </c>
      <c r="F277" s="27">
        <f>IFERROR(ROUND(HLOOKUP(Таблица5[[#Headers],[Цена КП]],'WV 4.0'!$A:$N,ROW('WV 4.0'!266:266),0),0),"")</f>
        <v>0</v>
      </c>
      <c r="G277" s="27">
        <f>IFERROR(Таблица5[[#This Row],[Цена КП]]*Таблица5[[#This Row],[Кол-во]],"")</f>
        <v>0</v>
      </c>
      <c r="H277" s="42">
        <f>IFERROR(HLOOKUP(Таблица5[[#Headers],[Комментарии]],'WV 4.0'!$A:$N,ROW('WV 4.0'!266:266),0),"")</f>
        <v>0</v>
      </c>
      <c r="I277" s="42">
        <f>IFERROR(HLOOKUP(Таблица5[[#Headers],[Срок поставки]],'WV 4.0'!$A:$N,ROW('WV 4.0'!266:266),0),"")</f>
        <v>0</v>
      </c>
      <c r="J277" s="27" t="str">
        <f>IFERROR(HLOOKUP(Таблица5[[#Headers],[Цена КазНИИСА]],'WV 4.0'!$A:$N,ROW('WV 4.0'!266:266),0),"")</f>
        <v/>
      </c>
      <c r="K277" s="27" t="str">
        <f>IFERROR(HLOOKUP(Таблица5[[#Headers],[Сумма КазНИИСА]],'WV 4.0'!$A:$N,ROW('WV 4.0'!266:266),0),"")</f>
        <v/>
      </c>
      <c r="L277" s="27">
        <f>IFERROR(HLOOKUP(Таблица5[[#Headers],[Код КазНИИСА]],'WV 4.0'!$A:$N,ROW('WV 4.0'!266:266),0),"")</f>
        <v>0</v>
      </c>
      <c r="M277" s="27" t="str">
        <f>IFERROR(HLOOKUP(Таблица5[[#Headers],[РРЦ в тнг]],'WV 4.0'!$A:$N,ROW('WV 4.0'!266:266),0),"")</f>
        <v/>
      </c>
      <c r="N277" s="27" t="str">
        <f>IFERROR(HLOOKUP(Таблица5[[#Headers],[Сумма РРЦ]],'WV 4.0'!$A:$N,ROW('WV 4.0'!266:266),0),"")</f>
        <v/>
      </c>
    </row>
    <row r="278" spans="1:14" x14ac:dyDescent="0.25">
      <c r="A278" s="29">
        <f>IFERROR('WV 4.0'!A267, " ")</f>
        <v>0</v>
      </c>
      <c r="B278" s="29">
        <f>IFERROR('WV 4.0'!B267, " ")</f>
        <v>0</v>
      </c>
      <c r="C278" s="29">
        <f>IFERROR('WV 4.0'!C267, " ")</f>
        <v>0</v>
      </c>
      <c r="D278" s="29">
        <f>IFERROR('WV 4.0'!D267, " ")</f>
        <v>0</v>
      </c>
      <c r="E278" s="29">
        <f>IFERROR('WV 4.0'!E267, " ")</f>
        <v>0</v>
      </c>
      <c r="F278" s="27">
        <f>IFERROR(ROUND(HLOOKUP(Таблица5[[#Headers],[Цена КП]],'WV 4.0'!$A:$N,ROW('WV 4.0'!267:267),0),0),"")</f>
        <v>0</v>
      </c>
      <c r="G278" s="27">
        <f>IFERROR(Таблица5[[#This Row],[Цена КП]]*Таблица5[[#This Row],[Кол-во]],"")</f>
        <v>0</v>
      </c>
      <c r="H278" s="42">
        <f>IFERROR(HLOOKUP(Таблица5[[#Headers],[Комментарии]],'WV 4.0'!$A:$N,ROW('WV 4.0'!267:267),0),"")</f>
        <v>0</v>
      </c>
      <c r="I278" s="42">
        <f>IFERROR(HLOOKUP(Таблица5[[#Headers],[Срок поставки]],'WV 4.0'!$A:$N,ROW('WV 4.0'!267:267),0),"")</f>
        <v>0</v>
      </c>
      <c r="J278" s="27" t="str">
        <f>IFERROR(HLOOKUP(Таблица5[[#Headers],[Цена КазНИИСА]],'WV 4.0'!$A:$N,ROW('WV 4.0'!267:267),0),"")</f>
        <v/>
      </c>
      <c r="K278" s="27" t="str">
        <f>IFERROR(HLOOKUP(Таблица5[[#Headers],[Сумма КазНИИСА]],'WV 4.0'!$A:$N,ROW('WV 4.0'!267:267),0),"")</f>
        <v/>
      </c>
      <c r="L278" s="27">
        <f>IFERROR(HLOOKUP(Таблица5[[#Headers],[Код КазНИИСА]],'WV 4.0'!$A:$N,ROW('WV 4.0'!267:267),0),"")</f>
        <v>0</v>
      </c>
      <c r="M278" s="27" t="str">
        <f>IFERROR(HLOOKUP(Таблица5[[#Headers],[РРЦ в тнг]],'WV 4.0'!$A:$N,ROW('WV 4.0'!267:267),0),"")</f>
        <v/>
      </c>
      <c r="N278" s="27" t="str">
        <f>IFERROR(HLOOKUP(Таблица5[[#Headers],[Сумма РРЦ]],'WV 4.0'!$A:$N,ROW('WV 4.0'!267:267),0),"")</f>
        <v/>
      </c>
    </row>
    <row r="279" spans="1:14" x14ac:dyDescent="0.25">
      <c r="A279" s="29">
        <f>IFERROR('WV 4.0'!A268, " ")</f>
        <v>0</v>
      </c>
      <c r="B279" s="29">
        <f>IFERROR('WV 4.0'!B268, " ")</f>
        <v>0</v>
      </c>
      <c r="C279" s="29">
        <f>IFERROR('WV 4.0'!C268, " ")</f>
        <v>0</v>
      </c>
      <c r="D279" s="29">
        <f>IFERROR('WV 4.0'!D268, " ")</f>
        <v>0</v>
      </c>
      <c r="E279" s="29">
        <f>IFERROR('WV 4.0'!E268, " ")</f>
        <v>0</v>
      </c>
      <c r="F279" s="27">
        <f>IFERROR(ROUND(HLOOKUP(Таблица5[[#Headers],[Цена КП]],'WV 4.0'!$A:$N,ROW('WV 4.0'!268:268),0),0),"")</f>
        <v>0</v>
      </c>
      <c r="G279" s="27">
        <f>IFERROR(Таблица5[[#This Row],[Цена КП]]*Таблица5[[#This Row],[Кол-во]],"")</f>
        <v>0</v>
      </c>
      <c r="H279" s="42">
        <f>IFERROR(HLOOKUP(Таблица5[[#Headers],[Комментарии]],'WV 4.0'!$A:$N,ROW('WV 4.0'!268:268),0),"")</f>
        <v>0</v>
      </c>
      <c r="I279" s="42">
        <f>IFERROR(HLOOKUP(Таблица5[[#Headers],[Срок поставки]],'WV 4.0'!$A:$N,ROW('WV 4.0'!268:268),0),"")</f>
        <v>0</v>
      </c>
      <c r="J279" s="27" t="str">
        <f>IFERROR(HLOOKUP(Таблица5[[#Headers],[Цена КазНИИСА]],'WV 4.0'!$A:$N,ROW('WV 4.0'!268:268),0),"")</f>
        <v/>
      </c>
      <c r="K279" s="27" t="str">
        <f>IFERROR(HLOOKUP(Таблица5[[#Headers],[Сумма КазНИИСА]],'WV 4.0'!$A:$N,ROW('WV 4.0'!268:268),0),"")</f>
        <v/>
      </c>
      <c r="L279" s="27">
        <f>IFERROR(HLOOKUP(Таблица5[[#Headers],[Код КазНИИСА]],'WV 4.0'!$A:$N,ROW('WV 4.0'!268:268),0),"")</f>
        <v>0</v>
      </c>
      <c r="M279" s="27" t="str">
        <f>IFERROR(HLOOKUP(Таблица5[[#Headers],[РРЦ в тнг]],'WV 4.0'!$A:$N,ROW('WV 4.0'!268:268),0),"")</f>
        <v/>
      </c>
      <c r="N279" s="27" t="str">
        <f>IFERROR(HLOOKUP(Таблица5[[#Headers],[Сумма РРЦ]],'WV 4.0'!$A:$N,ROW('WV 4.0'!268:268),0),"")</f>
        <v/>
      </c>
    </row>
    <row r="280" spans="1:14" x14ac:dyDescent="0.25">
      <c r="A280" s="29">
        <f>IFERROR('WV 4.0'!A269, " ")</f>
        <v>0</v>
      </c>
      <c r="B280" s="29">
        <f>IFERROR('WV 4.0'!B269, " ")</f>
        <v>0</v>
      </c>
      <c r="C280" s="29">
        <f>IFERROR('WV 4.0'!C269, " ")</f>
        <v>0</v>
      </c>
      <c r="D280" s="29">
        <f>IFERROR('WV 4.0'!D269, " ")</f>
        <v>0</v>
      </c>
      <c r="E280" s="29">
        <f>IFERROR('WV 4.0'!E269, " ")</f>
        <v>0</v>
      </c>
      <c r="F280" s="27">
        <f>IFERROR(ROUND(HLOOKUP(Таблица5[[#Headers],[Цена КП]],'WV 4.0'!$A:$N,ROW('WV 4.0'!269:269),0),0),"")</f>
        <v>0</v>
      </c>
      <c r="G280" s="27">
        <f>IFERROR(Таблица5[[#This Row],[Цена КП]]*Таблица5[[#This Row],[Кол-во]],"")</f>
        <v>0</v>
      </c>
      <c r="H280" s="42">
        <f>IFERROR(HLOOKUP(Таблица5[[#Headers],[Комментарии]],'WV 4.0'!$A:$N,ROW('WV 4.0'!269:269),0),"")</f>
        <v>0</v>
      </c>
      <c r="I280" s="42">
        <f>IFERROR(HLOOKUP(Таблица5[[#Headers],[Срок поставки]],'WV 4.0'!$A:$N,ROW('WV 4.0'!269:269),0),"")</f>
        <v>0</v>
      </c>
      <c r="J280" s="27" t="str">
        <f>IFERROR(HLOOKUP(Таблица5[[#Headers],[Цена КазНИИСА]],'WV 4.0'!$A:$N,ROW('WV 4.0'!269:269),0),"")</f>
        <v/>
      </c>
      <c r="K280" s="27" t="str">
        <f>IFERROR(HLOOKUP(Таблица5[[#Headers],[Сумма КазНИИСА]],'WV 4.0'!$A:$N,ROW('WV 4.0'!269:269),0),"")</f>
        <v/>
      </c>
      <c r="L280" s="27">
        <f>IFERROR(HLOOKUP(Таблица5[[#Headers],[Код КазНИИСА]],'WV 4.0'!$A:$N,ROW('WV 4.0'!269:269),0),"")</f>
        <v>0</v>
      </c>
      <c r="M280" s="27" t="str">
        <f>IFERROR(HLOOKUP(Таблица5[[#Headers],[РРЦ в тнг]],'WV 4.0'!$A:$N,ROW('WV 4.0'!269:269),0),"")</f>
        <v/>
      </c>
      <c r="N280" s="27" t="str">
        <f>IFERROR(HLOOKUP(Таблица5[[#Headers],[Сумма РРЦ]],'WV 4.0'!$A:$N,ROW('WV 4.0'!269:269),0),"")</f>
        <v/>
      </c>
    </row>
    <row r="281" spans="1:14" x14ac:dyDescent="0.25">
      <c r="A281" s="29">
        <f>IFERROR('WV 4.0'!A270, " ")</f>
        <v>0</v>
      </c>
      <c r="B281" s="29">
        <f>IFERROR('WV 4.0'!B270, " ")</f>
        <v>0</v>
      </c>
      <c r="C281" s="29">
        <f>IFERROR('WV 4.0'!C270, " ")</f>
        <v>0</v>
      </c>
      <c r="D281" s="29">
        <f>IFERROR('WV 4.0'!D270, " ")</f>
        <v>0</v>
      </c>
      <c r="E281" s="29">
        <f>IFERROR('WV 4.0'!E270, " ")</f>
        <v>0</v>
      </c>
      <c r="F281" s="27">
        <f>IFERROR(ROUND(HLOOKUP(Таблица5[[#Headers],[Цена КП]],'WV 4.0'!$A:$N,ROW('WV 4.0'!270:270),0),0),"")</f>
        <v>0</v>
      </c>
      <c r="G281" s="27">
        <f>IFERROR(Таблица5[[#This Row],[Цена КП]]*Таблица5[[#This Row],[Кол-во]],"")</f>
        <v>0</v>
      </c>
      <c r="H281" s="42">
        <f>IFERROR(HLOOKUP(Таблица5[[#Headers],[Комментарии]],'WV 4.0'!$A:$N,ROW('WV 4.0'!270:270),0),"")</f>
        <v>0</v>
      </c>
      <c r="I281" s="42">
        <f>IFERROR(HLOOKUP(Таблица5[[#Headers],[Срок поставки]],'WV 4.0'!$A:$N,ROW('WV 4.0'!270:270),0),"")</f>
        <v>0</v>
      </c>
      <c r="J281" s="27" t="str">
        <f>IFERROR(HLOOKUP(Таблица5[[#Headers],[Цена КазНИИСА]],'WV 4.0'!$A:$N,ROW('WV 4.0'!270:270),0),"")</f>
        <v/>
      </c>
      <c r="K281" s="27" t="str">
        <f>IFERROR(HLOOKUP(Таблица5[[#Headers],[Сумма КазНИИСА]],'WV 4.0'!$A:$N,ROW('WV 4.0'!270:270),0),"")</f>
        <v/>
      </c>
      <c r="L281" s="27">
        <f>IFERROR(HLOOKUP(Таблица5[[#Headers],[Код КазНИИСА]],'WV 4.0'!$A:$N,ROW('WV 4.0'!270:270),0),"")</f>
        <v>0</v>
      </c>
      <c r="M281" s="27" t="str">
        <f>IFERROR(HLOOKUP(Таблица5[[#Headers],[РРЦ в тнг]],'WV 4.0'!$A:$N,ROW('WV 4.0'!270:270),0),"")</f>
        <v/>
      </c>
      <c r="N281" s="27" t="str">
        <f>IFERROR(HLOOKUP(Таблица5[[#Headers],[Сумма РРЦ]],'WV 4.0'!$A:$N,ROW('WV 4.0'!270:270),0),"")</f>
        <v/>
      </c>
    </row>
    <row r="282" spans="1:14" x14ac:dyDescent="0.25">
      <c r="A282" s="29">
        <f>IFERROR('WV 4.0'!A271, " ")</f>
        <v>0</v>
      </c>
      <c r="B282" s="29">
        <f>IFERROR('WV 4.0'!B271, " ")</f>
        <v>0</v>
      </c>
      <c r="C282" s="29">
        <f>IFERROR('WV 4.0'!C271, " ")</f>
        <v>0</v>
      </c>
      <c r="D282" s="29">
        <f>IFERROR('WV 4.0'!D271, " ")</f>
        <v>0</v>
      </c>
      <c r="E282" s="29">
        <f>IFERROR('WV 4.0'!E271, " ")</f>
        <v>0</v>
      </c>
      <c r="F282" s="27">
        <f>IFERROR(ROUND(HLOOKUP(Таблица5[[#Headers],[Цена КП]],'WV 4.0'!$A:$N,ROW('WV 4.0'!271:271),0),0),"")</f>
        <v>0</v>
      </c>
      <c r="G282" s="27">
        <f>IFERROR(Таблица5[[#This Row],[Цена КП]]*Таблица5[[#This Row],[Кол-во]],"")</f>
        <v>0</v>
      </c>
      <c r="H282" s="42">
        <f>IFERROR(HLOOKUP(Таблица5[[#Headers],[Комментарии]],'WV 4.0'!$A:$N,ROW('WV 4.0'!271:271),0),"")</f>
        <v>0</v>
      </c>
      <c r="I282" s="42">
        <f>IFERROR(HLOOKUP(Таблица5[[#Headers],[Срок поставки]],'WV 4.0'!$A:$N,ROW('WV 4.0'!271:271),0),"")</f>
        <v>0</v>
      </c>
      <c r="J282" s="27" t="str">
        <f>IFERROR(HLOOKUP(Таблица5[[#Headers],[Цена КазНИИСА]],'WV 4.0'!$A:$N,ROW('WV 4.0'!271:271),0),"")</f>
        <v/>
      </c>
      <c r="K282" s="27" t="str">
        <f>IFERROR(HLOOKUP(Таблица5[[#Headers],[Сумма КазНИИСА]],'WV 4.0'!$A:$N,ROW('WV 4.0'!271:271),0),"")</f>
        <v/>
      </c>
      <c r="L282" s="27">
        <f>IFERROR(HLOOKUP(Таблица5[[#Headers],[Код КазНИИСА]],'WV 4.0'!$A:$N,ROW('WV 4.0'!271:271),0),"")</f>
        <v>0</v>
      </c>
      <c r="M282" s="27" t="str">
        <f>IFERROR(HLOOKUP(Таблица5[[#Headers],[РРЦ в тнг]],'WV 4.0'!$A:$N,ROW('WV 4.0'!271:271),0),"")</f>
        <v/>
      </c>
      <c r="N282" s="27" t="str">
        <f>IFERROR(HLOOKUP(Таблица5[[#Headers],[Сумма РРЦ]],'WV 4.0'!$A:$N,ROW('WV 4.0'!271:271),0),"")</f>
        <v/>
      </c>
    </row>
    <row r="283" spans="1:14" x14ac:dyDescent="0.25">
      <c r="A283" s="29">
        <f>IFERROR('WV 4.0'!A272, " ")</f>
        <v>0</v>
      </c>
      <c r="B283" s="29">
        <f>IFERROR('WV 4.0'!B272, " ")</f>
        <v>0</v>
      </c>
      <c r="C283" s="29">
        <f>IFERROR('WV 4.0'!C272, " ")</f>
        <v>0</v>
      </c>
      <c r="D283" s="29">
        <f>IFERROR('WV 4.0'!D272, " ")</f>
        <v>0</v>
      </c>
      <c r="E283" s="29">
        <f>IFERROR('WV 4.0'!E272, " ")</f>
        <v>0</v>
      </c>
      <c r="F283" s="27">
        <f>IFERROR(ROUND(HLOOKUP(Таблица5[[#Headers],[Цена КП]],'WV 4.0'!$A:$N,ROW('WV 4.0'!272:272),0),0),"")</f>
        <v>0</v>
      </c>
      <c r="G283" s="27">
        <f>IFERROR(Таблица5[[#This Row],[Цена КП]]*Таблица5[[#This Row],[Кол-во]],"")</f>
        <v>0</v>
      </c>
      <c r="H283" s="42">
        <f>IFERROR(HLOOKUP(Таблица5[[#Headers],[Комментарии]],'WV 4.0'!$A:$N,ROW('WV 4.0'!272:272),0),"")</f>
        <v>0</v>
      </c>
      <c r="I283" s="42">
        <f>IFERROR(HLOOKUP(Таблица5[[#Headers],[Срок поставки]],'WV 4.0'!$A:$N,ROW('WV 4.0'!272:272),0),"")</f>
        <v>0</v>
      </c>
      <c r="J283" s="27" t="str">
        <f>IFERROR(HLOOKUP(Таблица5[[#Headers],[Цена КазНИИСА]],'WV 4.0'!$A:$N,ROW('WV 4.0'!272:272),0),"")</f>
        <v/>
      </c>
      <c r="K283" s="27" t="str">
        <f>IFERROR(HLOOKUP(Таблица5[[#Headers],[Сумма КазНИИСА]],'WV 4.0'!$A:$N,ROW('WV 4.0'!272:272),0),"")</f>
        <v/>
      </c>
      <c r="L283" s="27">
        <f>IFERROR(HLOOKUP(Таблица5[[#Headers],[Код КазНИИСА]],'WV 4.0'!$A:$N,ROW('WV 4.0'!272:272),0),"")</f>
        <v>0</v>
      </c>
      <c r="M283" s="27" t="str">
        <f>IFERROR(HLOOKUP(Таблица5[[#Headers],[РРЦ в тнг]],'WV 4.0'!$A:$N,ROW('WV 4.0'!272:272),0),"")</f>
        <v/>
      </c>
      <c r="N283" s="27" t="str">
        <f>IFERROR(HLOOKUP(Таблица5[[#Headers],[Сумма РРЦ]],'WV 4.0'!$A:$N,ROW('WV 4.0'!272:272),0),"")</f>
        <v/>
      </c>
    </row>
    <row r="284" spans="1:14" x14ac:dyDescent="0.25">
      <c r="A284" s="29">
        <f>IFERROR('WV 4.0'!A273, " ")</f>
        <v>0</v>
      </c>
      <c r="B284" s="29">
        <f>IFERROR('WV 4.0'!B273, " ")</f>
        <v>0</v>
      </c>
      <c r="C284" s="29">
        <f>IFERROR('WV 4.0'!C273, " ")</f>
        <v>0</v>
      </c>
      <c r="D284" s="29">
        <f>IFERROR('WV 4.0'!D273, " ")</f>
        <v>0</v>
      </c>
      <c r="E284" s="29">
        <f>IFERROR('WV 4.0'!E273, " ")</f>
        <v>0</v>
      </c>
      <c r="F284" s="27">
        <f>IFERROR(ROUND(HLOOKUP(Таблица5[[#Headers],[Цена КП]],'WV 4.0'!$A:$N,ROW('WV 4.0'!273:273),0),0),"")</f>
        <v>0</v>
      </c>
      <c r="G284" s="27">
        <f>IFERROR(Таблица5[[#This Row],[Цена КП]]*Таблица5[[#This Row],[Кол-во]],"")</f>
        <v>0</v>
      </c>
      <c r="H284" s="42">
        <f>IFERROR(HLOOKUP(Таблица5[[#Headers],[Комментарии]],'WV 4.0'!$A:$N,ROW('WV 4.0'!273:273),0),"")</f>
        <v>0</v>
      </c>
      <c r="I284" s="42">
        <f>IFERROR(HLOOKUP(Таблица5[[#Headers],[Срок поставки]],'WV 4.0'!$A:$N,ROW('WV 4.0'!273:273),0),"")</f>
        <v>0</v>
      </c>
      <c r="J284" s="27" t="str">
        <f>IFERROR(HLOOKUP(Таблица5[[#Headers],[Цена КазНИИСА]],'WV 4.0'!$A:$N,ROW('WV 4.0'!273:273),0),"")</f>
        <v/>
      </c>
      <c r="K284" s="27" t="str">
        <f>IFERROR(HLOOKUP(Таблица5[[#Headers],[Сумма КазНИИСА]],'WV 4.0'!$A:$N,ROW('WV 4.0'!273:273),0),"")</f>
        <v/>
      </c>
      <c r="L284" s="27">
        <f>IFERROR(HLOOKUP(Таблица5[[#Headers],[Код КазНИИСА]],'WV 4.0'!$A:$N,ROW('WV 4.0'!273:273),0),"")</f>
        <v>0</v>
      </c>
      <c r="M284" s="27" t="str">
        <f>IFERROR(HLOOKUP(Таблица5[[#Headers],[РРЦ в тнг]],'WV 4.0'!$A:$N,ROW('WV 4.0'!273:273),0),"")</f>
        <v/>
      </c>
      <c r="N284" s="27" t="str">
        <f>IFERROR(HLOOKUP(Таблица5[[#Headers],[Сумма РРЦ]],'WV 4.0'!$A:$N,ROW('WV 4.0'!273:273),0),"")</f>
        <v/>
      </c>
    </row>
    <row r="285" spans="1:14" x14ac:dyDescent="0.25">
      <c r="A285" s="29">
        <f>IFERROR('WV 4.0'!A274, " ")</f>
        <v>0</v>
      </c>
      <c r="B285" s="29">
        <f>IFERROR('WV 4.0'!B274, " ")</f>
        <v>0</v>
      </c>
      <c r="C285" s="29">
        <f>IFERROR('WV 4.0'!C274, " ")</f>
        <v>0</v>
      </c>
      <c r="D285" s="29">
        <f>IFERROR('WV 4.0'!D274, " ")</f>
        <v>0</v>
      </c>
      <c r="E285" s="29">
        <f>IFERROR('WV 4.0'!E274, " ")</f>
        <v>0</v>
      </c>
      <c r="F285" s="27">
        <f>IFERROR(ROUND(HLOOKUP(Таблица5[[#Headers],[Цена КП]],'WV 4.0'!$A:$N,ROW('WV 4.0'!274:274),0),0),"")</f>
        <v>0</v>
      </c>
      <c r="G285" s="27">
        <f>IFERROR(Таблица5[[#This Row],[Цена КП]]*Таблица5[[#This Row],[Кол-во]],"")</f>
        <v>0</v>
      </c>
      <c r="H285" s="42">
        <f>IFERROR(HLOOKUP(Таблица5[[#Headers],[Комментарии]],'WV 4.0'!$A:$N,ROW('WV 4.0'!274:274),0),"")</f>
        <v>0</v>
      </c>
      <c r="I285" s="42">
        <f>IFERROR(HLOOKUP(Таблица5[[#Headers],[Срок поставки]],'WV 4.0'!$A:$N,ROW('WV 4.0'!274:274),0),"")</f>
        <v>0</v>
      </c>
      <c r="J285" s="27" t="str">
        <f>IFERROR(HLOOKUP(Таблица5[[#Headers],[Цена КазНИИСА]],'WV 4.0'!$A:$N,ROW('WV 4.0'!274:274),0),"")</f>
        <v/>
      </c>
      <c r="K285" s="27" t="str">
        <f>IFERROR(HLOOKUP(Таблица5[[#Headers],[Сумма КазНИИСА]],'WV 4.0'!$A:$N,ROW('WV 4.0'!274:274),0),"")</f>
        <v/>
      </c>
      <c r="L285" s="27">
        <f>IFERROR(HLOOKUP(Таблица5[[#Headers],[Код КазНИИСА]],'WV 4.0'!$A:$N,ROW('WV 4.0'!274:274),0),"")</f>
        <v>0</v>
      </c>
      <c r="M285" s="27" t="str">
        <f>IFERROR(HLOOKUP(Таблица5[[#Headers],[РРЦ в тнг]],'WV 4.0'!$A:$N,ROW('WV 4.0'!274:274),0),"")</f>
        <v/>
      </c>
      <c r="N285" s="27" t="str">
        <f>IFERROR(HLOOKUP(Таблица5[[#Headers],[Сумма РРЦ]],'WV 4.0'!$A:$N,ROW('WV 4.0'!274:274),0),"")</f>
        <v/>
      </c>
    </row>
    <row r="286" spans="1:14" x14ac:dyDescent="0.25">
      <c r="A286" s="29">
        <f>IFERROR('WV 4.0'!A275, " ")</f>
        <v>0</v>
      </c>
      <c r="B286" s="29">
        <f>IFERROR('WV 4.0'!B275, " ")</f>
        <v>0</v>
      </c>
      <c r="C286" s="29">
        <f>IFERROR('WV 4.0'!C275, " ")</f>
        <v>0</v>
      </c>
      <c r="D286" s="29">
        <f>IFERROR('WV 4.0'!D275, " ")</f>
        <v>0</v>
      </c>
      <c r="E286" s="29">
        <f>IFERROR('WV 4.0'!E275, " ")</f>
        <v>0</v>
      </c>
      <c r="F286" s="27">
        <f>IFERROR(ROUND(HLOOKUP(Таблица5[[#Headers],[Цена КП]],'WV 4.0'!$A:$N,ROW('WV 4.0'!275:275),0),0),"")</f>
        <v>0</v>
      </c>
      <c r="G286" s="27">
        <f>IFERROR(Таблица5[[#This Row],[Цена КП]]*Таблица5[[#This Row],[Кол-во]],"")</f>
        <v>0</v>
      </c>
      <c r="H286" s="42">
        <f>IFERROR(HLOOKUP(Таблица5[[#Headers],[Комментарии]],'WV 4.0'!$A:$N,ROW('WV 4.0'!275:275),0),"")</f>
        <v>0</v>
      </c>
      <c r="I286" s="42">
        <f>IFERROR(HLOOKUP(Таблица5[[#Headers],[Срок поставки]],'WV 4.0'!$A:$N,ROW('WV 4.0'!275:275),0),"")</f>
        <v>0</v>
      </c>
      <c r="J286" s="27" t="str">
        <f>IFERROR(HLOOKUP(Таблица5[[#Headers],[Цена КазНИИСА]],'WV 4.0'!$A:$N,ROW('WV 4.0'!275:275),0),"")</f>
        <v/>
      </c>
      <c r="K286" s="27" t="str">
        <f>IFERROR(HLOOKUP(Таблица5[[#Headers],[Сумма КазНИИСА]],'WV 4.0'!$A:$N,ROW('WV 4.0'!275:275),0),"")</f>
        <v/>
      </c>
      <c r="L286" s="27">
        <f>IFERROR(HLOOKUP(Таблица5[[#Headers],[Код КазНИИСА]],'WV 4.0'!$A:$N,ROW('WV 4.0'!275:275),0),"")</f>
        <v>0</v>
      </c>
      <c r="M286" s="27" t="str">
        <f>IFERROR(HLOOKUP(Таблица5[[#Headers],[РРЦ в тнг]],'WV 4.0'!$A:$N,ROW('WV 4.0'!275:275),0),"")</f>
        <v/>
      </c>
      <c r="N286" s="27" t="str">
        <f>IFERROR(HLOOKUP(Таблица5[[#Headers],[Сумма РРЦ]],'WV 4.0'!$A:$N,ROW('WV 4.0'!275:275),0),"")</f>
        <v/>
      </c>
    </row>
    <row r="287" spans="1:14" x14ac:dyDescent="0.25">
      <c r="A287" s="29">
        <f>IFERROR('WV 4.0'!A276, " ")</f>
        <v>0</v>
      </c>
      <c r="B287" s="29">
        <f>IFERROR('WV 4.0'!B276, " ")</f>
        <v>0</v>
      </c>
      <c r="C287" s="29">
        <f>IFERROR('WV 4.0'!C276, " ")</f>
        <v>0</v>
      </c>
      <c r="D287" s="29">
        <f>IFERROR('WV 4.0'!D276, " ")</f>
        <v>0</v>
      </c>
      <c r="E287" s="29">
        <f>IFERROR('WV 4.0'!E276, " ")</f>
        <v>0</v>
      </c>
      <c r="F287" s="27">
        <f>IFERROR(ROUND(HLOOKUP(Таблица5[[#Headers],[Цена КП]],'WV 4.0'!$A:$N,ROW('WV 4.0'!276:276),0),0),"")</f>
        <v>0</v>
      </c>
      <c r="G287" s="27">
        <f>IFERROR(Таблица5[[#This Row],[Цена КП]]*Таблица5[[#This Row],[Кол-во]],"")</f>
        <v>0</v>
      </c>
      <c r="H287" s="42">
        <f>IFERROR(HLOOKUP(Таблица5[[#Headers],[Комментарии]],'WV 4.0'!$A:$N,ROW('WV 4.0'!276:276),0),"")</f>
        <v>0</v>
      </c>
      <c r="I287" s="42">
        <f>IFERROR(HLOOKUP(Таблица5[[#Headers],[Срок поставки]],'WV 4.0'!$A:$N,ROW('WV 4.0'!276:276),0),"")</f>
        <v>0</v>
      </c>
      <c r="J287" s="27" t="str">
        <f>IFERROR(HLOOKUP(Таблица5[[#Headers],[Цена КазНИИСА]],'WV 4.0'!$A:$N,ROW('WV 4.0'!276:276),0),"")</f>
        <v/>
      </c>
      <c r="K287" s="27" t="str">
        <f>IFERROR(HLOOKUP(Таблица5[[#Headers],[Сумма КазНИИСА]],'WV 4.0'!$A:$N,ROW('WV 4.0'!276:276),0),"")</f>
        <v/>
      </c>
      <c r="L287" s="27">
        <f>IFERROR(HLOOKUP(Таблица5[[#Headers],[Код КазНИИСА]],'WV 4.0'!$A:$N,ROW('WV 4.0'!276:276),0),"")</f>
        <v>0</v>
      </c>
      <c r="M287" s="27" t="str">
        <f>IFERROR(HLOOKUP(Таблица5[[#Headers],[РРЦ в тнг]],'WV 4.0'!$A:$N,ROW('WV 4.0'!276:276),0),"")</f>
        <v/>
      </c>
      <c r="N287" s="27" t="str">
        <f>IFERROR(HLOOKUP(Таблица5[[#Headers],[Сумма РРЦ]],'WV 4.0'!$A:$N,ROW('WV 4.0'!276:276),0),"")</f>
        <v/>
      </c>
    </row>
    <row r="288" spans="1:14" x14ac:dyDescent="0.25">
      <c r="A288" s="29">
        <f>IFERROR('WV 4.0'!A277, " ")</f>
        <v>0</v>
      </c>
      <c r="B288" s="29">
        <f>IFERROR('WV 4.0'!B277, " ")</f>
        <v>0</v>
      </c>
      <c r="C288" s="29">
        <f>IFERROR('WV 4.0'!C277, " ")</f>
        <v>0</v>
      </c>
      <c r="D288" s="29">
        <f>IFERROR('WV 4.0'!D277, " ")</f>
        <v>0</v>
      </c>
      <c r="E288" s="29">
        <f>IFERROR('WV 4.0'!E277, " ")</f>
        <v>0</v>
      </c>
      <c r="F288" s="27">
        <f>IFERROR(ROUND(HLOOKUP(Таблица5[[#Headers],[Цена КП]],'WV 4.0'!$A:$N,ROW('WV 4.0'!277:277),0),0),"")</f>
        <v>0</v>
      </c>
      <c r="G288" s="27">
        <f>IFERROR(Таблица5[[#This Row],[Цена КП]]*Таблица5[[#This Row],[Кол-во]],"")</f>
        <v>0</v>
      </c>
      <c r="H288" s="42">
        <f>IFERROR(HLOOKUP(Таблица5[[#Headers],[Комментарии]],'WV 4.0'!$A:$N,ROW('WV 4.0'!277:277),0),"")</f>
        <v>0</v>
      </c>
      <c r="I288" s="42">
        <f>IFERROR(HLOOKUP(Таблица5[[#Headers],[Срок поставки]],'WV 4.0'!$A:$N,ROW('WV 4.0'!277:277),0),"")</f>
        <v>0</v>
      </c>
      <c r="J288" s="27" t="str">
        <f>IFERROR(HLOOKUP(Таблица5[[#Headers],[Цена КазНИИСА]],'WV 4.0'!$A:$N,ROW('WV 4.0'!277:277),0),"")</f>
        <v/>
      </c>
      <c r="K288" s="27" t="str">
        <f>IFERROR(HLOOKUP(Таблица5[[#Headers],[Сумма КазНИИСА]],'WV 4.0'!$A:$N,ROW('WV 4.0'!277:277),0),"")</f>
        <v/>
      </c>
      <c r="L288" s="27">
        <f>IFERROR(HLOOKUP(Таблица5[[#Headers],[Код КазНИИСА]],'WV 4.0'!$A:$N,ROW('WV 4.0'!277:277),0),"")</f>
        <v>0</v>
      </c>
      <c r="M288" s="27" t="str">
        <f>IFERROR(HLOOKUP(Таблица5[[#Headers],[РРЦ в тнг]],'WV 4.0'!$A:$N,ROW('WV 4.0'!277:277),0),"")</f>
        <v/>
      </c>
      <c r="N288" s="27" t="str">
        <f>IFERROR(HLOOKUP(Таблица5[[#Headers],[Сумма РРЦ]],'WV 4.0'!$A:$N,ROW('WV 4.0'!277:277),0),"")</f>
        <v/>
      </c>
    </row>
    <row r="289" spans="1:14" x14ac:dyDescent="0.25">
      <c r="A289" s="29">
        <f>IFERROR('WV 4.0'!A278, " ")</f>
        <v>0</v>
      </c>
      <c r="B289" s="29">
        <f>IFERROR('WV 4.0'!B278, " ")</f>
        <v>0</v>
      </c>
      <c r="C289" s="29">
        <f>IFERROR('WV 4.0'!C278, " ")</f>
        <v>0</v>
      </c>
      <c r="D289" s="29">
        <f>IFERROR('WV 4.0'!D278, " ")</f>
        <v>0</v>
      </c>
      <c r="E289" s="29">
        <f>IFERROR('WV 4.0'!E278, " ")</f>
        <v>0</v>
      </c>
      <c r="F289" s="27">
        <f>IFERROR(ROUND(HLOOKUP(Таблица5[[#Headers],[Цена КП]],'WV 4.0'!$A:$N,ROW('WV 4.0'!278:278),0),0),"")</f>
        <v>0</v>
      </c>
      <c r="G289" s="27">
        <f>IFERROR(Таблица5[[#This Row],[Цена КП]]*Таблица5[[#This Row],[Кол-во]],"")</f>
        <v>0</v>
      </c>
      <c r="H289" s="42">
        <f>IFERROR(HLOOKUP(Таблица5[[#Headers],[Комментарии]],'WV 4.0'!$A:$N,ROW('WV 4.0'!278:278),0),"")</f>
        <v>0</v>
      </c>
      <c r="I289" s="42">
        <f>IFERROR(HLOOKUP(Таблица5[[#Headers],[Срок поставки]],'WV 4.0'!$A:$N,ROW('WV 4.0'!278:278),0),"")</f>
        <v>0</v>
      </c>
      <c r="J289" s="27" t="str">
        <f>IFERROR(HLOOKUP(Таблица5[[#Headers],[Цена КазНИИСА]],'WV 4.0'!$A:$N,ROW('WV 4.0'!278:278),0),"")</f>
        <v/>
      </c>
      <c r="K289" s="27" t="str">
        <f>IFERROR(HLOOKUP(Таблица5[[#Headers],[Сумма КазНИИСА]],'WV 4.0'!$A:$N,ROW('WV 4.0'!278:278),0),"")</f>
        <v/>
      </c>
      <c r="L289" s="27">
        <f>IFERROR(HLOOKUP(Таблица5[[#Headers],[Код КазНИИСА]],'WV 4.0'!$A:$N,ROW('WV 4.0'!278:278),0),"")</f>
        <v>0</v>
      </c>
      <c r="M289" s="27" t="str">
        <f>IFERROR(HLOOKUP(Таблица5[[#Headers],[РРЦ в тнг]],'WV 4.0'!$A:$N,ROW('WV 4.0'!278:278),0),"")</f>
        <v/>
      </c>
      <c r="N289" s="27" t="str">
        <f>IFERROR(HLOOKUP(Таблица5[[#Headers],[Сумма РРЦ]],'WV 4.0'!$A:$N,ROW('WV 4.0'!278:278),0),"")</f>
        <v/>
      </c>
    </row>
    <row r="290" spans="1:14" x14ac:dyDescent="0.25">
      <c r="A290" s="29">
        <f>IFERROR('WV 4.0'!A279, " ")</f>
        <v>0</v>
      </c>
      <c r="B290" s="29">
        <f>IFERROR('WV 4.0'!B279, " ")</f>
        <v>0</v>
      </c>
      <c r="C290" s="29">
        <f>IFERROR('WV 4.0'!C279, " ")</f>
        <v>0</v>
      </c>
      <c r="D290" s="29">
        <f>IFERROR('WV 4.0'!D279, " ")</f>
        <v>0</v>
      </c>
      <c r="E290" s="29">
        <f>IFERROR('WV 4.0'!E279, " ")</f>
        <v>0</v>
      </c>
      <c r="F290" s="27">
        <f>IFERROR(ROUND(HLOOKUP(Таблица5[[#Headers],[Цена КП]],'WV 4.0'!$A:$N,ROW('WV 4.0'!279:279),0),0),"")</f>
        <v>0</v>
      </c>
      <c r="G290" s="27">
        <f>IFERROR(Таблица5[[#This Row],[Цена КП]]*Таблица5[[#This Row],[Кол-во]],"")</f>
        <v>0</v>
      </c>
      <c r="H290" s="42">
        <f>IFERROR(HLOOKUP(Таблица5[[#Headers],[Комментарии]],'WV 4.0'!$A:$N,ROW('WV 4.0'!279:279),0),"")</f>
        <v>0</v>
      </c>
      <c r="I290" s="42">
        <f>IFERROR(HLOOKUP(Таблица5[[#Headers],[Срок поставки]],'WV 4.0'!$A:$N,ROW('WV 4.0'!279:279),0),"")</f>
        <v>0</v>
      </c>
      <c r="J290" s="27" t="str">
        <f>IFERROR(HLOOKUP(Таблица5[[#Headers],[Цена КазНИИСА]],'WV 4.0'!$A:$N,ROW('WV 4.0'!279:279),0),"")</f>
        <v/>
      </c>
      <c r="K290" s="27" t="str">
        <f>IFERROR(HLOOKUP(Таблица5[[#Headers],[Сумма КазНИИСА]],'WV 4.0'!$A:$N,ROW('WV 4.0'!279:279),0),"")</f>
        <v/>
      </c>
      <c r="L290" s="27">
        <f>IFERROR(HLOOKUP(Таблица5[[#Headers],[Код КазНИИСА]],'WV 4.0'!$A:$N,ROW('WV 4.0'!279:279),0),"")</f>
        <v>0</v>
      </c>
      <c r="M290" s="27" t="str">
        <f>IFERROR(HLOOKUP(Таблица5[[#Headers],[РРЦ в тнг]],'WV 4.0'!$A:$N,ROW('WV 4.0'!279:279),0),"")</f>
        <v/>
      </c>
      <c r="N290" s="27" t="str">
        <f>IFERROR(HLOOKUP(Таблица5[[#Headers],[Сумма РРЦ]],'WV 4.0'!$A:$N,ROW('WV 4.0'!279:279),0),"")</f>
        <v/>
      </c>
    </row>
    <row r="291" spans="1:14" x14ac:dyDescent="0.25">
      <c r="A291" s="29">
        <f>IFERROR('WV 4.0'!A280, " ")</f>
        <v>0</v>
      </c>
      <c r="B291" s="29">
        <f>IFERROR('WV 4.0'!B280, " ")</f>
        <v>0</v>
      </c>
      <c r="C291" s="29">
        <f>IFERROR('WV 4.0'!C280, " ")</f>
        <v>0</v>
      </c>
      <c r="D291" s="29">
        <f>IFERROR('WV 4.0'!D280, " ")</f>
        <v>0</v>
      </c>
      <c r="E291" s="29">
        <f>IFERROR('WV 4.0'!E280, " ")</f>
        <v>0</v>
      </c>
      <c r="F291" s="27">
        <f>IFERROR(ROUND(HLOOKUP(Таблица5[[#Headers],[Цена КП]],'WV 4.0'!$A:$N,ROW('WV 4.0'!280:280),0),0),"")</f>
        <v>0</v>
      </c>
      <c r="G291" s="27">
        <f>IFERROR(Таблица5[[#This Row],[Цена КП]]*Таблица5[[#This Row],[Кол-во]],"")</f>
        <v>0</v>
      </c>
      <c r="H291" s="42">
        <f>IFERROR(HLOOKUP(Таблица5[[#Headers],[Комментарии]],'WV 4.0'!$A:$N,ROW('WV 4.0'!280:280),0),"")</f>
        <v>0</v>
      </c>
      <c r="I291" s="42">
        <f>IFERROR(HLOOKUP(Таблица5[[#Headers],[Срок поставки]],'WV 4.0'!$A:$N,ROW('WV 4.0'!280:280),0),"")</f>
        <v>0</v>
      </c>
      <c r="J291" s="27" t="str">
        <f>IFERROR(HLOOKUP(Таблица5[[#Headers],[Цена КазНИИСА]],'WV 4.0'!$A:$N,ROW('WV 4.0'!280:280),0),"")</f>
        <v/>
      </c>
      <c r="K291" s="27" t="str">
        <f>IFERROR(HLOOKUP(Таблица5[[#Headers],[Сумма КазНИИСА]],'WV 4.0'!$A:$N,ROW('WV 4.0'!280:280),0),"")</f>
        <v/>
      </c>
      <c r="L291" s="27">
        <f>IFERROR(HLOOKUP(Таблица5[[#Headers],[Код КазНИИСА]],'WV 4.0'!$A:$N,ROW('WV 4.0'!280:280),0),"")</f>
        <v>0</v>
      </c>
      <c r="M291" s="27" t="str">
        <f>IFERROR(HLOOKUP(Таблица5[[#Headers],[РРЦ в тнг]],'WV 4.0'!$A:$N,ROW('WV 4.0'!280:280),0),"")</f>
        <v/>
      </c>
      <c r="N291" s="27" t="str">
        <f>IFERROR(HLOOKUP(Таблица5[[#Headers],[Сумма РРЦ]],'WV 4.0'!$A:$N,ROW('WV 4.0'!280:280),0),"")</f>
        <v/>
      </c>
    </row>
    <row r="292" spans="1:14" x14ac:dyDescent="0.25">
      <c r="A292" s="29">
        <f>IFERROR('WV 4.0'!A281, " ")</f>
        <v>0</v>
      </c>
      <c r="B292" s="29">
        <f>IFERROR('WV 4.0'!B281, " ")</f>
        <v>0</v>
      </c>
      <c r="C292" s="29">
        <f>IFERROR('WV 4.0'!C281, " ")</f>
        <v>0</v>
      </c>
      <c r="D292" s="29">
        <f>IFERROR('WV 4.0'!D281, " ")</f>
        <v>0</v>
      </c>
      <c r="E292" s="29">
        <f>IFERROR('WV 4.0'!E281, " ")</f>
        <v>0</v>
      </c>
      <c r="F292" s="27">
        <f>IFERROR(ROUND(HLOOKUP(Таблица5[[#Headers],[Цена КП]],'WV 4.0'!$A:$N,ROW('WV 4.0'!281:281),0),0),"")</f>
        <v>0</v>
      </c>
      <c r="G292" s="27">
        <f>IFERROR(Таблица5[[#This Row],[Цена КП]]*Таблица5[[#This Row],[Кол-во]],"")</f>
        <v>0</v>
      </c>
      <c r="H292" s="42">
        <f>IFERROR(HLOOKUP(Таблица5[[#Headers],[Комментарии]],'WV 4.0'!$A:$N,ROW('WV 4.0'!281:281),0),"")</f>
        <v>0</v>
      </c>
      <c r="I292" s="42">
        <f>IFERROR(HLOOKUP(Таблица5[[#Headers],[Срок поставки]],'WV 4.0'!$A:$N,ROW('WV 4.0'!281:281),0),"")</f>
        <v>0</v>
      </c>
      <c r="J292" s="27" t="str">
        <f>IFERROR(HLOOKUP(Таблица5[[#Headers],[Цена КазНИИСА]],'WV 4.0'!$A:$N,ROW('WV 4.0'!281:281),0),"")</f>
        <v/>
      </c>
      <c r="K292" s="27" t="str">
        <f>IFERROR(HLOOKUP(Таблица5[[#Headers],[Сумма КазНИИСА]],'WV 4.0'!$A:$N,ROW('WV 4.0'!281:281),0),"")</f>
        <v/>
      </c>
      <c r="L292" s="27">
        <f>IFERROR(HLOOKUP(Таблица5[[#Headers],[Код КазНИИСА]],'WV 4.0'!$A:$N,ROW('WV 4.0'!281:281),0),"")</f>
        <v>0</v>
      </c>
      <c r="M292" s="27" t="str">
        <f>IFERROR(HLOOKUP(Таблица5[[#Headers],[РРЦ в тнг]],'WV 4.0'!$A:$N,ROW('WV 4.0'!281:281),0),"")</f>
        <v/>
      </c>
      <c r="N292" s="27" t="str">
        <f>IFERROR(HLOOKUP(Таблица5[[#Headers],[Сумма РРЦ]],'WV 4.0'!$A:$N,ROW('WV 4.0'!281:281),0),"")</f>
        <v/>
      </c>
    </row>
    <row r="293" spans="1:14" x14ac:dyDescent="0.25">
      <c r="A293" s="29">
        <f>IFERROR('WV 4.0'!A282, " ")</f>
        <v>0</v>
      </c>
      <c r="B293" s="29">
        <f>IFERROR('WV 4.0'!B282, " ")</f>
        <v>0</v>
      </c>
      <c r="C293" s="29">
        <f>IFERROR('WV 4.0'!C282, " ")</f>
        <v>0</v>
      </c>
      <c r="D293" s="29">
        <f>IFERROR('WV 4.0'!D282, " ")</f>
        <v>0</v>
      </c>
      <c r="E293" s="29">
        <f>IFERROR('WV 4.0'!E282, " ")</f>
        <v>0</v>
      </c>
      <c r="F293" s="27">
        <f>IFERROR(ROUND(HLOOKUP(Таблица5[[#Headers],[Цена КП]],'WV 4.0'!$A:$N,ROW('WV 4.0'!282:282),0),0),"")</f>
        <v>0</v>
      </c>
      <c r="G293" s="27">
        <f>IFERROR(Таблица5[[#This Row],[Цена КП]]*Таблица5[[#This Row],[Кол-во]],"")</f>
        <v>0</v>
      </c>
      <c r="H293" s="42">
        <f>IFERROR(HLOOKUP(Таблица5[[#Headers],[Комментарии]],'WV 4.0'!$A:$N,ROW('WV 4.0'!282:282),0),"")</f>
        <v>0</v>
      </c>
      <c r="I293" s="42">
        <f>IFERROR(HLOOKUP(Таблица5[[#Headers],[Срок поставки]],'WV 4.0'!$A:$N,ROW('WV 4.0'!282:282),0),"")</f>
        <v>0</v>
      </c>
      <c r="J293" s="27" t="str">
        <f>IFERROR(HLOOKUP(Таблица5[[#Headers],[Цена КазНИИСА]],'WV 4.0'!$A:$N,ROW('WV 4.0'!282:282),0),"")</f>
        <v/>
      </c>
      <c r="K293" s="27" t="str">
        <f>IFERROR(HLOOKUP(Таблица5[[#Headers],[Сумма КазНИИСА]],'WV 4.0'!$A:$N,ROW('WV 4.0'!282:282),0),"")</f>
        <v/>
      </c>
      <c r="L293" s="27">
        <f>IFERROR(HLOOKUP(Таблица5[[#Headers],[Код КазНИИСА]],'WV 4.0'!$A:$N,ROW('WV 4.0'!282:282),0),"")</f>
        <v>0</v>
      </c>
      <c r="M293" s="27" t="str">
        <f>IFERROR(HLOOKUP(Таблица5[[#Headers],[РРЦ в тнг]],'WV 4.0'!$A:$N,ROW('WV 4.0'!282:282),0),"")</f>
        <v/>
      </c>
      <c r="N293" s="27" t="str">
        <f>IFERROR(HLOOKUP(Таблица5[[#Headers],[Сумма РРЦ]],'WV 4.0'!$A:$N,ROW('WV 4.0'!282:282),0),"")</f>
        <v/>
      </c>
    </row>
    <row r="294" spans="1:14" x14ac:dyDescent="0.25">
      <c r="A294" s="29">
        <f>IFERROR('WV 4.0'!A283, " ")</f>
        <v>0</v>
      </c>
      <c r="B294" s="29">
        <f>IFERROR('WV 4.0'!B283, " ")</f>
        <v>0</v>
      </c>
      <c r="C294" s="29">
        <f>IFERROR('WV 4.0'!C283, " ")</f>
        <v>0</v>
      </c>
      <c r="D294" s="29">
        <f>IFERROR('WV 4.0'!D283, " ")</f>
        <v>0</v>
      </c>
      <c r="E294" s="29">
        <f>IFERROR('WV 4.0'!E283, " ")</f>
        <v>0</v>
      </c>
      <c r="F294" s="27">
        <f>IFERROR(ROUND(HLOOKUP(Таблица5[[#Headers],[Цена КП]],'WV 4.0'!$A:$N,ROW('WV 4.0'!283:283),0),0),"")</f>
        <v>0</v>
      </c>
      <c r="G294" s="27">
        <f>IFERROR(Таблица5[[#This Row],[Цена КП]]*Таблица5[[#This Row],[Кол-во]],"")</f>
        <v>0</v>
      </c>
      <c r="H294" s="42">
        <f>IFERROR(HLOOKUP(Таблица5[[#Headers],[Комментарии]],'WV 4.0'!$A:$N,ROW('WV 4.0'!283:283),0),"")</f>
        <v>0</v>
      </c>
      <c r="I294" s="42">
        <f>IFERROR(HLOOKUP(Таблица5[[#Headers],[Срок поставки]],'WV 4.0'!$A:$N,ROW('WV 4.0'!283:283),0),"")</f>
        <v>0</v>
      </c>
      <c r="J294" s="27" t="str">
        <f>IFERROR(HLOOKUP(Таблица5[[#Headers],[Цена КазНИИСА]],'WV 4.0'!$A:$N,ROW('WV 4.0'!283:283),0),"")</f>
        <v/>
      </c>
      <c r="K294" s="27" t="str">
        <f>IFERROR(HLOOKUP(Таблица5[[#Headers],[Сумма КазНИИСА]],'WV 4.0'!$A:$N,ROW('WV 4.0'!283:283),0),"")</f>
        <v/>
      </c>
      <c r="L294" s="27">
        <f>IFERROR(HLOOKUP(Таблица5[[#Headers],[Код КазНИИСА]],'WV 4.0'!$A:$N,ROW('WV 4.0'!283:283),0),"")</f>
        <v>0</v>
      </c>
      <c r="M294" s="27" t="str">
        <f>IFERROR(HLOOKUP(Таблица5[[#Headers],[РРЦ в тнг]],'WV 4.0'!$A:$N,ROW('WV 4.0'!283:283),0),"")</f>
        <v/>
      </c>
      <c r="N294" s="27" t="str">
        <f>IFERROR(HLOOKUP(Таблица5[[#Headers],[Сумма РРЦ]],'WV 4.0'!$A:$N,ROW('WV 4.0'!283:283),0),"")</f>
        <v/>
      </c>
    </row>
    <row r="295" spans="1:14" x14ac:dyDescent="0.25">
      <c r="A295" s="29">
        <f>IFERROR('WV 4.0'!A284, " ")</f>
        <v>0</v>
      </c>
      <c r="B295" s="29">
        <f>IFERROR('WV 4.0'!B284, " ")</f>
        <v>0</v>
      </c>
      <c r="C295" s="29">
        <f>IFERROR('WV 4.0'!C284, " ")</f>
        <v>0</v>
      </c>
      <c r="D295" s="29">
        <f>IFERROR('WV 4.0'!D284, " ")</f>
        <v>0</v>
      </c>
      <c r="E295" s="29">
        <f>IFERROR('WV 4.0'!E284, " ")</f>
        <v>0</v>
      </c>
      <c r="F295" s="27">
        <f>IFERROR(ROUND(HLOOKUP(Таблица5[[#Headers],[Цена КП]],'WV 4.0'!$A:$N,ROW('WV 4.0'!284:284),0),0),"")</f>
        <v>0</v>
      </c>
      <c r="G295" s="27">
        <f>IFERROR(Таблица5[[#This Row],[Цена КП]]*Таблица5[[#This Row],[Кол-во]],"")</f>
        <v>0</v>
      </c>
      <c r="H295" s="42">
        <f>IFERROR(HLOOKUP(Таблица5[[#Headers],[Комментарии]],'WV 4.0'!$A:$N,ROW('WV 4.0'!284:284),0),"")</f>
        <v>0</v>
      </c>
      <c r="I295" s="42">
        <f>IFERROR(HLOOKUP(Таблица5[[#Headers],[Срок поставки]],'WV 4.0'!$A:$N,ROW('WV 4.0'!284:284),0),"")</f>
        <v>0</v>
      </c>
      <c r="J295" s="27" t="str">
        <f>IFERROR(HLOOKUP(Таблица5[[#Headers],[Цена КазНИИСА]],'WV 4.0'!$A:$N,ROW('WV 4.0'!284:284),0),"")</f>
        <v/>
      </c>
      <c r="K295" s="27" t="str">
        <f>IFERROR(HLOOKUP(Таблица5[[#Headers],[Сумма КазНИИСА]],'WV 4.0'!$A:$N,ROW('WV 4.0'!284:284),0),"")</f>
        <v/>
      </c>
      <c r="L295" s="27">
        <f>IFERROR(HLOOKUP(Таблица5[[#Headers],[Код КазНИИСА]],'WV 4.0'!$A:$N,ROW('WV 4.0'!284:284),0),"")</f>
        <v>0</v>
      </c>
      <c r="M295" s="27" t="str">
        <f>IFERROR(HLOOKUP(Таблица5[[#Headers],[РРЦ в тнг]],'WV 4.0'!$A:$N,ROW('WV 4.0'!284:284),0),"")</f>
        <v/>
      </c>
      <c r="N295" s="27" t="str">
        <f>IFERROR(HLOOKUP(Таблица5[[#Headers],[Сумма РРЦ]],'WV 4.0'!$A:$N,ROW('WV 4.0'!284:284),0),"")</f>
        <v/>
      </c>
    </row>
    <row r="296" spans="1:14" x14ac:dyDescent="0.25">
      <c r="A296" s="29">
        <f>IFERROR('WV 4.0'!A285, " ")</f>
        <v>0</v>
      </c>
      <c r="B296" s="29">
        <f>IFERROR('WV 4.0'!B285, " ")</f>
        <v>0</v>
      </c>
      <c r="C296" s="29">
        <f>IFERROR('WV 4.0'!C285, " ")</f>
        <v>0</v>
      </c>
      <c r="D296" s="29">
        <f>IFERROR('WV 4.0'!D285, " ")</f>
        <v>0</v>
      </c>
      <c r="E296" s="29">
        <f>IFERROR('WV 4.0'!E285, " ")</f>
        <v>0</v>
      </c>
      <c r="F296" s="27">
        <f>IFERROR(ROUND(HLOOKUP(Таблица5[[#Headers],[Цена КП]],'WV 4.0'!$A:$N,ROW('WV 4.0'!285:285),0),0),"")</f>
        <v>0</v>
      </c>
      <c r="G296" s="27">
        <f>IFERROR(Таблица5[[#This Row],[Цена КП]]*Таблица5[[#This Row],[Кол-во]],"")</f>
        <v>0</v>
      </c>
      <c r="H296" s="42">
        <f>IFERROR(HLOOKUP(Таблица5[[#Headers],[Комментарии]],'WV 4.0'!$A:$N,ROW('WV 4.0'!285:285),0),"")</f>
        <v>0</v>
      </c>
      <c r="I296" s="42">
        <f>IFERROR(HLOOKUP(Таблица5[[#Headers],[Срок поставки]],'WV 4.0'!$A:$N,ROW('WV 4.0'!285:285),0),"")</f>
        <v>0</v>
      </c>
      <c r="J296" s="27" t="str">
        <f>IFERROR(HLOOKUP(Таблица5[[#Headers],[Цена КазНИИСА]],'WV 4.0'!$A:$N,ROW('WV 4.0'!285:285),0),"")</f>
        <v/>
      </c>
      <c r="K296" s="27" t="str">
        <f>IFERROR(HLOOKUP(Таблица5[[#Headers],[Сумма КазНИИСА]],'WV 4.0'!$A:$N,ROW('WV 4.0'!285:285),0),"")</f>
        <v/>
      </c>
      <c r="L296" s="27">
        <f>IFERROR(HLOOKUP(Таблица5[[#Headers],[Код КазНИИСА]],'WV 4.0'!$A:$N,ROW('WV 4.0'!285:285),0),"")</f>
        <v>0</v>
      </c>
      <c r="M296" s="27" t="str">
        <f>IFERROR(HLOOKUP(Таблица5[[#Headers],[РРЦ в тнг]],'WV 4.0'!$A:$N,ROW('WV 4.0'!285:285),0),"")</f>
        <v/>
      </c>
      <c r="N296" s="27" t="str">
        <f>IFERROR(HLOOKUP(Таблица5[[#Headers],[Сумма РРЦ]],'WV 4.0'!$A:$N,ROW('WV 4.0'!285:285),0),"")</f>
        <v/>
      </c>
    </row>
    <row r="297" spans="1:14" x14ac:dyDescent="0.25">
      <c r="A297" s="29">
        <f>IFERROR('WV 4.0'!A286, " ")</f>
        <v>0</v>
      </c>
      <c r="B297" s="29">
        <f>IFERROR('WV 4.0'!B286, " ")</f>
        <v>0</v>
      </c>
      <c r="C297" s="29">
        <f>IFERROR('WV 4.0'!C286, " ")</f>
        <v>0</v>
      </c>
      <c r="D297" s="29">
        <f>IFERROR('WV 4.0'!D286, " ")</f>
        <v>0</v>
      </c>
      <c r="E297" s="29">
        <f>IFERROR('WV 4.0'!E286, " ")</f>
        <v>0</v>
      </c>
      <c r="F297" s="27">
        <f>IFERROR(ROUND(HLOOKUP(Таблица5[[#Headers],[Цена КП]],'WV 4.0'!$A:$N,ROW('WV 4.0'!286:286),0),0),"")</f>
        <v>0</v>
      </c>
      <c r="G297" s="27">
        <f>IFERROR(Таблица5[[#This Row],[Цена КП]]*Таблица5[[#This Row],[Кол-во]],"")</f>
        <v>0</v>
      </c>
      <c r="H297" s="42">
        <f>IFERROR(HLOOKUP(Таблица5[[#Headers],[Комментарии]],'WV 4.0'!$A:$N,ROW('WV 4.0'!286:286),0),"")</f>
        <v>0</v>
      </c>
      <c r="I297" s="42">
        <f>IFERROR(HLOOKUP(Таблица5[[#Headers],[Срок поставки]],'WV 4.0'!$A:$N,ROW('WV 4.0'!286:286),0),"")</f>
        <v>0</v>
      </c>
      <c r="J297" s="27" t="str">
        <f>IFERROR(HLOOKUP(Таблица5[[#Headers],[Цена КазНИИСА]],'WV 4.0'!$A:$N,ROW('WV 4.0'!286:286),0),"")</f>
        <v/>
      </c>
      <c r="K297" s="27" t="str">
        <f>IFERROR(HLOOKUP(Таблица5[[#Headers],[Сумма КазНИИСА]],'WV 4.0'!$A:$N,ROW('WV 4.0'!286:286),0),"")</f>
        <v/>
      </c>
      <c r="L297" s="27">
        <f>IFERROR(HLOOKUP(Таблица5[[#Headers],[Код КазНИИСА]],'WV 4.0'!$A:$N,ROW('WV 4.0'!286:286),0),"")</f>
        <v>0</v>
      </c>
      <c r="M297" s="27" t="str">
        <f>IFERROR(HLOOKUP(Таблица5[[#Headers],[РРЦ в тнг]],'WV 4.0'!$A:$N,ROW('WV 4.0'!286:286),0),"")</f>
        <v/>
      </c>
      <c r="N297" s="27" t="str">
        <f>IFERROR(HLOOKUP(Таблица5[[#Headers],[Сумма РРЦ]],'WV 4.0'!$A:$N,ROW('WV 4.0'!286:286),0),"")</f>
        <v/>
      </c>
    </row>
    <row r="298" spans="1:14" x14ac:dyDescent="0.25">
      <c r="A298" s="29">
        <f>IFERROR('WV 4.0'!A287, " ")</f>
        <v>0</v>
      </c>
      <c r="B298" s="29">
        <f>IFERROR('WV 4.0'!B287, " ")</f>
        <v>0</v>
      </c>
      <c r="C298" s="29">
        <f>IFERROR('WV 4.0'!C287, " ")</f>
        <v>0</v>
      </c>
      <c r="D298" s="29">
        <f>IFERROR('WV 4.0'!D287, " ")</f>
        <v>0</v>
      </c>
      <c r="E298" s="29">
        <f>IFERROR('WV 4.0'!E287, " ")</f>
        <v>0</v>
      </c>
      <c r="F298" s="27">
        <f>IFERROR(ROUND(HLOOKUP(Таблица5[[#Headers],[Цена КП]],'WV 4.0'!$A:$N,ROW('WV 4.0'!287:287),0),0),"")</f>
        <v>0</v>
      </c>
      <c r="G298" s="27">
        <f>IFERROR(Таблица5[[#This Row],[Цена КП]]*Таблица5[[#This Row],[Кол-во]],"")</f>
        <v>0</v>
      </c>
      <c r="H298" s="42">
        <f>IFERROR(HLOOKUP(Таблица5[[#Headers],[Комментарии]],'WV 4.0'!$A:$N,ROW('WV 4.0'!287:287),0),"")</f>
        <v>0</v>
      </c>
      <c r="I298" s="42">
        <f>IFERROR(HLOOKUP(Таблица5[[#Headers],[Срок поставки]],'WV 4.0'!$A:$N,ROW('WV 4.0'!287:287),0),"")</f>
        <v>0</v>
      </c>
      <c r="J298" s="27" t="str">
        <f>IFERROR(HLOOKUP(Таблица5[[#Headers],[Цена КазНИИСА]],'WV 4.0'!$A:$N,ROW('WV 4.0'!287:287),0),"")</f>
        <v/>
      </c>
      <c r="K298" s="27" t="str">
        <f>IFERROR(HLOOKUP(Таблица5[[#Headers],[Сумма КазНИИСА]],'WV 4.0'!$A:$N,ROW('WV 4.0'!287:287),0),"")</f>
        <v/>
      </c>
      <c r="L298" s="27">
        <f>IFERROR(HLOOKUP(Таблица5[[#Headers],[Код КазНИИСА]],'WV 4.0'!$A:$N,ROW('WV 4.0'!287:287),0),"")</f>
        <v>0</v>
      </c>
      <c r="M298" s="27" t="str">
        <f>IFERROR(HLOOKUP(Таблица5[[#Headers],[РРЦ в тнг]],'WV 4.0'!$A:$N,ROW('WV 4.0'!287:287),0),"")</f>
        <v/>
      </c>
      <c r="N298" s="27" t="str">
        <f>IFERROR(HLOOKUP(Таблица5[[#Headers],[Сумма РРЦ]],'WV 4.0'!$A:$N,ROW('WV 4.0'!287:287),0),"")</f>
        <v/>
      </c>
    </row>
    <row r="299" spans="1:14" x14ac:dyDescent="0.25">
      <c r="A299" s="29">
        <f>IFERROR('WV 4.0'!A288, " ")</f>
        <v>0</v>
      </c>
      <c r="B299" s="29">
        <f>IFERROR('WV 4.0'!B288, " ")</f>
        <v>0</v>
      </c>
      <c r="C299" s="29">
        <f>IFERROR('WV 4.0'!C288, " ")</f>
        <v>0</v>
      </c>
      <c r="D299" s="29">
        <f>IFERROR('WV 4.0'!D288, " ")</f>
        <v>0</v>
      </c>
      <c r="E299" s="29">
        <f>IFERROR('WV 4.0'!E288, " ")</f>
        <v>0</v>
      </c>
      <c r="F299" s="27">
        <f>IFERROR(ROUND(HLOOKUP(Таблица5[[#Headers],[Цена КП]],'WV 4.0'!$A:$N,ROW('WV 4.0'!288:288),0),0),"")</f>
        <v>0</v>
      </c>
      <c r="G299" s="27">
        <f>IFERROR(Таблица5[[#This Row],[Цена КП]]*Таблица5[[#This Row],[Кол-во]],"")</f>
        <v>0</v>
      </c>
      <c r="H299" s="42">
        <f>IFERROR(HLOOKUP(Таблица5[[#Headers],[Комментарии]],'WV 4.0'!$A:$N,ROW('WV 4.0'!288:288),0),"")</f>
        <v>0</v>
      </c>
      <c r="I299" s="42">
        <f>IFERROR(HLOOKUP(Таблица5[[#Headers],[Срок поставки]],'WV 4.0'!$A:$N,ROW('WV 4.0'!288:288),0),"")</f>
        <v>0</v>
      </c>
      <c r="J299" s="27" t="str">
        <f>IFERROR(HLOOKUP(Таблица5[[#Headers],[Цена КазНИИСА]],'WV 4.0'!$A:$N,ROW('WV 4.0'!288:288),0),"")</f>
        <v/>
      </c>
      <c r="K299" s="27" t="str">
        <f>IFERROR(HLOOKUP(Таблица5[[#Headers],[Сумма КазНИИСА]],'WV 4.0'!$A:$N,ROW('WV 4.0'!288:288),0),"")</f>
        <v/>
      </c>
      <c r="L299" s="27">
        <f>IFERROR(HLOOKUP(Таблица5[[#Headers],[Код КазНИИСА]],'WV 4.0'!$A:$N,ROW('WV 4.0'!288:288),0),"")</f>
        <v>0</v>
      </c>
      <c r="M299" s="27" t="str">
        <f>IFERROR(HLOOKUP(Таблица5[[#Headers],[РРЦ в тнг]],'WV 4.0'!$A:$N,ROW('WV 4.0'!288:288),0),"")</f>
        <v/>
      </c>
      <c r="N299" s="27" t="str">
        <f>IFERROR(HLOOKUP(Таблица5[[#Headers],[Сумма РРЦ]],'WV 4.0'!$A:$N,ROW('WV 4.0'!288:288),0),"")</f>
        <v/>
      </c>
    </row>
    <row r="300" spans="1:14" x14ac:dyDescent="0.25">
      <c r="A300" s="29">
        <f>IFERROR('WV 4.0'!A289, " ")</f>
        <v>0</v>
      </c>
      <c r="B300" s="29">
        <f>IFERROR('WV 4.0'!B289, " ")</f>
        <v>0</v>
      </c>
      <c r="C300" s="29">
        <f>IFERROR('WV 4.0'!C289, " ")</f>
        <v>0</v>
      </c>
      <c r="D300" s="29">
        <f>IFERROR('WV 4.0'!D289, " ")</f>
        <v>0</v>
      </c>
      <c r="E300" s="29">
        <f>IFERROR('WV 4.0'!E289, " ")</f>
        <v>0</v>
      </c>
      <c r="F300" s="27">
        <f>IFERROR(ROUND(HLOOKUP(Таблица5[[#Headers],[Цена КП]],'WV 4.0'!$A:$N,ROW('WV 4.0'!289:289),0),0),"")</f>
        <v>0</v>
      </c>
      <c r="G300" s="27">
        <f>IFERROR(Таблица5[[#This Row],[Цена КП]]*Таблица5[[#This Row],[Кол-во]],"")</f>
        <v>0</v>
      </c>
      <c r="H300" s="42">
        <f>IFERROR(HLOOKUP(Таблица5[[#Headers],[Комментарии]],'WV 4.0'!$A:$N,ROW('WV 4.0'!289:289),0),"")</f>
        <v>0</v>
      </c>
      <c r="I300" s="42">
        <f>IFERROR(HLOOKUP(Таблица5[[#Headers],[Срок поставки]],'WV 4.0'!$A:$N,ROW('WV 4.0'!289:289),0),"")</f>
        <v>0</v>
      </c>
      <c r="J300" s="27" t="str">
        <f>IFERROR(HLOOKUP(Таблица5[[#Headers],[Цена КазНИИСА]],'WV 4.0'!$A:$N,ROW('WV 4.0'!289:289),0),"")</f>
        <v/>
      </c>
      <c r="K300" s="27" t="str">
        <f>IFERROR(HLOOKUP(Таблица5[[#Headers],[Сумма КазНИИСА]],'WV 4.0'!$A:$N,ROW('WV 4.0'!289:289),0),"")</f>
        <v/>
      </c>
      <c r="L300" s="27">
        <f>IFERROR(HLOOKUP(Таблица5[[#Headers],[Код КазНИИСА]],'WV 4.0'!$A:$N,ROW('WV 4.0'!289:289),0),"")</f>
        <v>0</v>
      </c>
      <c r="M300" s="27" t="str">
        <f>IFERROR(HLOOKUP(Таблица5[[#Headers],[РРЦ в тнг]],'WV 4.0'!$A:$N,ROW('WV 4.0'!289:289),0),"")</f>
        <v/>
      </c>
      <c r="N300" s="27" t="str">
        <f>IFERROR(HLOOKUP(Таблица5[[#Headers],[Сумма РРЦ]],'WV 4.0'!$A:$N,ROW('WV 4.0'!289:289),0),"")</f>
        <v/>
      </c>
    </row>
    <row r="301" spans="1:14" x14ac:dyDescent="0.25">
      <c r="A301" s="29">
        <f>IFERROR('WV 4.0'!A290, " ")</f>
        <v>0</v>
      </c>
      <c r="B301" s="29">
        <f>IFERROR('WV 4.0'!B290, " ")</f>
        <v>0</v>
      </c>
      <c r="C301" s="29">
        <f>IFERROR('WV 4.0'!C290, " ")</f>
        <v>0</v>
      </c>
      <c r="D301" s="29">
        <f>IFERROR('WV 4.0'!D290, " ")</f>
        <v>0</v>
      </c>
      <c r="E301" s="29">
        <f>IFERROR('WV 4.0'!E290, " ")</f>
        <v>0</v>
      </c>
      <c r="F301" s="27">
        <f>IFERROR(ROUND(HLOOKUP(Таблица5[[#Headers],[Цена КП]],'WV 4.0'!$A:$N,ROW('WV 4.0'!290:290),0),0),"")</f>
        <v>0</v>
      </c>
      <c r="G301" s="27">
        <f>IFERROR(Таблица5[[#This Row],[Цена КП]]*Таблица5[[#This Row],[Кол-во]],"")</f>
        <v>0</v>
      </c>
      <c r="H301" s="42">
        <f>IFERROR(HLOOKUP(Таблица5[[#Headers],[Комментарии]],'WV 4.0'!$A:$N,ROW('WV 4.0'!290:290),0),"")</f>
        <v>0</v>
      </c>
      <c r="I301" s="42">
        <f>IFERROR(HLOOKUP(Таблица5[[#Headers],[Срок поставки]],'WV 4.0'!$A:$N,ROW('WV 4.0'!290:290),0),"")</f>
        <v>0</v>
      </c>
      <c r="J301" s="27" t="str">
        <f>IFERROR(HLOOKUP(Таблица5[[#Headers],[Цена КазНИИСА]],'WV 4.0'!$A:$N,ROW('WV 4.0'!290:290),0),"")</f>
        <v/>
      </c>
      <c r="K301" s="27" t="str">
        <f>IFERROR(HLOOKUP(Таблица5[[#Headers],[Сумма КазНИИСА]],'WV 4.0'!$A:$N,ROW('WV 4.0'!290:290),0),"")</f>
        <v/>
      </c>
      <c r="L301" s="27">
        <f>IFERROR(HLOOKUP(Таблица5[[#Headers],[Код КазНИИСА]],'WV 4.0'!$A:$N,ROW('WV 4.0'!290:290),0),"")</f>
        <v>0</v>
      </c>
      <c r="M301" s="27" t="str">
        <f>IFERROR(HLOOKUP(Таблица5[[#Headers],[РРЦ в тнг]],'WV 4.0'!$A:$N,ROW('WV 4.0'!290:290),0),"")</f>
        <v/>
      </c>
      <c r="N301" s="27" t="str">
        <f>IFERROR(HLOOKUP(Таблица5[[#Headers],[Сумма РРЦ]],'WV 4.0'!$A:$N,ROW('WV 4.0'!290:290),0),"")</f>
        <v/>
      </c>
    </row>
    <row r="302" spans="1:14" x14ac:dyDescent="0.25">
      <c r="A302" s="29">
        <f>IFERROR('WV 4.0'!A291, " ")</f>
        <v>0</v>
      </c>
      <c r="B302" s="29">
        <f>IFERROR('WV 4.0'!B291, " ")</f>
        <v>0</v>
      </c>
      <c r="C302" s="29">
        <f>IFERROR('WV 4.0'!C291, " ")</f>
        <v>0</v>
      </c>
      <c r="D302" s="29">
        <f>IFERROR('WV 4.0'!D291, " ")</f>
        <v>0</v>
      </c>
      <c r="E302" s="29">
        <f>IFERROR('WV 4.0'!E291, " ")</f>
        <v>0</v>
      </c>
      <c r="F302" s="27">
        <f>IFERROR(ROUND(HLOOKUP(Таблица5[[#Headers],[Цена КП]],'WV 4.0'!$A:$N,ROW('WV 4.0'!291:291),0),0),"")</f>
        <v>0</v>
      </c>
      <c r="G302" s="27">
        <f>IFERROR(Таблица5[[#This Row],[Цена КП]]*Таблица5[[#This Row],[Кол-во]],"")</f>
        <v>0</v>
      </c>
      <c r="H302" s="42">
        <f>IFERROR(HLOOKUP(Таблица5[[#Headers],[Комментарии]],'WV 4.0'!$A:$N,ROW('WV 4.0'!291:291),0),"")</f>
        <v>0</v>
      </c>
      <c r="I302" s="42">
        <f>IFERROR(HLOOKUP(Таблица5[[#Headers],[Срок поставки]],'WV 4.0'!$A:$N,ROW('WV 4.0'!291:291),0),"")</f>
        <v>0</v>
      </c>
      <c r="J302" s="27" t="str">
        <f>IFERROR(HLOOKUP(Таблица5[[#Headers],[Цена КазНИИСА]],'WV 4.0'!$A:$N,ROW('WV 4.0'!291:291),0),"")</f>
        <v/>
      </c>
      <c r="K302" s="27" t="str">
        <f>IFERROR(HLOOKUP(Таблица5[[#Headers],[Сумма КазНИИСА]],'WV 4.0'!$A:$N,ROW('WV 4.0'!291:291),0),"")</f>
        <v/>
      </c>
      <c r="L302" s="27">
        <f>IFERROR(HLOOKUP(Таблица5[[#Headers],[Код КазНИИСА]],'WV 4.0'!$A:$N,ROW('WV 4.0'!291:291),0),"")</f>
        <v>0</v>
      </c>
      <c r="M302" s="27" t="str">
        <f>IFERROR(HLOOKUP(Таблица5[[#Headers],[РРЦ в тнг]],'WV 4.0'!$A:$N,ROW('WV 4.0'!291:291),0),"")</f>
        <v/>
      </c>
      <c r="N302" s="27" t="str">
        <f>IFERROR(HLOOKUP(Таблица5[[#Headers],[Сумма РРЦ]],'WV 4.0'!$A:$N,ROW('WV 4.0'!291:291),0),"")</f>
        <v/>
      </c>
    </row>
    <row r="303" spans="1:14" x14ac:dyDescent="0.25">
      <c r="A303" s="29">
        <f>IFERROR('WV 4.0'!A292, " ")</f>
        <v>0</v>
      </c>
      <c r="B303" s="29">
        <f>IFERROR('WV 4.0'!B292, " ")</f>
        <v>0</v>
      </c>
      <c r="C303" s="29">
        <f>IFERROR('WV 4.0'!C292, " ")</f>
        <v>0</v>
      </c>
      <c r="D303" s="29">
        <f>IFERROR('WV 4.0'!D292, " ")</f>
        <v>0</v>
      </c>
      <c r="E303" s="29">
        <f>IFERROR('WV 4.0'!E292, " ")</f>
        <v>0</v>
      </c>
      <c r="F303" s="27">
        <f>IFERROR(ROUND(HLOOKUP(Таблица5[[#Headers],[Цена КП]],'WV 4.0'!$A:$N,ROW('WV 4.0'!292:292),0),0),"")</f>
        <v>0</v>
      </c>
      <c r="G303" s="27">
        <f>IFERROR(Таблица5[[#This Row],[Цена КП]]*Таблица5[[#This Row],[Кол-во]],"")</f>
        <v>0</v>
      </c>
      <c r="H303" s="42">
        <f>IFERROR(HLOOKUP(Таблица5[[#Headers],[Комментарии]],'WV 4.0'!$A:$N,ROW('WV 4.0'!292:292),0),"")</f>
        <v>0</v>
      </c>
      <c r="I303" s="42">
        <f>IFERROR(HLOOKUP(Таблица5[[#Headers],[Срок поставки]],'WV 4.0'!$A:$N,ROW('WV 4.0'!292:292),0),"")</f>
        <v>0</v>
      </c>
      <c r="J303" s="27" t="str">
        <f>IFERROR(HLOOKUP(Таблица5[[#Headers],[Цена КазНИИСА]],'WV 4.0'!$A:$N,ROW('WV 4.0'!292:292),0),"")</f>
        <v/>
      </c>
      <c r="K303" s="27" t="str">
        <f>IFERROR(HLOOKUP(Таблица5[[#Headers],[Сумма КазНИИСА]],'WV 4.0'!$A:$N,ROW('WV 4.0'!292:292),0),"")</f>
        <v/>
      </c>
      <c r="L303" s="27">
        <f>IFERROR(HLOOKUP(Таблица5[[#Headers],[Код КазНИИСА]],'WV 4.0'!$A:$N,ROW('WV 4.0'!292:292),0),"")</f>
        <v>0</v>
      </c>
      <c r="M303" s="27" t="str">
        <f>IFERROR(HLOOKUP(Таблица5[[#Headers],[РРЦ в тнг]],'WV 4.0'!$A:$N,ROW('WV 4.0'!292:292),0),"")</f>
        <v/>
      </c>
      <c r="N303" s="27" t="str">
        <f>IFERROR(HLOOKUP(Таблица5[[#Headers],[Сумма РРЦ]],'WV 4.0'!$A:$N,ROW('WV 4.0'!292:292),0),"")</f>
        <v/>
      </c>
    </row>
    <row r="304" spans="1:14" x14ac:dyDescent="0.25">
      <c r="A304" s="29">
        <f>IFERROR('WV 4.0'!A293, " ")</f>
        <v>0</v>
      </c>
      <c r="B304" s="29">
        <f>IFERROR('WV 4.0'!B293, " ")</f>
        <v>0</v>
      </c>
      <c r="C304" s="29">
        <f>IFERROR('WV 4.0'!C293, " ")</f>
        <v>0</v>
      </c>
      <c r="D304" s="29">
        <f>IFERROR('WV 4.0'!D293, " ")</f>
        <v>0</v>
      </c>
      <c r="E304" s="29">
        <f>IFERROR('WV 4.0'!E293, " ")</f>
        <v>0</v>
      </c>
      <c r="F304" s="27">
        <f>IFERROR(ROUND(HLOOKUP(Таблица5[[#Headers],[Цена КП]],'WV 4.0'!$A:$N,ROW('WV 4.0'!293:293),0),0),"")</f>
        <v>0</v>
      </c>
      <c r="G304" s="27">
        <f>IFERROR(Таблица5[[#This Row],[Цена КП]]*Таблица5[[#This Row],[Кол-во]],"")</f>
        <v>0</v>
      </c>
      <c r="H304" s="42">
        <f>IFERROR(HLOOKUP(Таблица5[[#Headers],[Комментарии]],'WV 4.0'!$A:$N,ROW('WV 4.0'!293:293),0),"")</f>
        <v>0</v>
      </c>
      <c r="I304" s="42">
        <f>IFERROR(HLOOKUP(Таблица5[[#Headers],[Срок поставки]],'WV 4.0'!$A:$N,ROW('WV 4.0'!293:293),0),"")</f>
        <v>0</v>
      </c>
      <c r="J304" s="27" t="str">
        <f>IFERROR(HLOOKUP(Таблица5[[#Headers],[Цена КазНИИСА]],'WV 4.0'!$A:$N,ROW('WV 4.0'!293:293),0),"")</f>
        <v/>
      </c>
      <c r="K304" s="27" t="str">
        <f>IFERROR(HLOOKUP(Таблица5[[#Headers],[Сумма КазНИИСА]],'WV 4.0'!$A:$N,ROW('WV 4.0'!293:293),0),"")</f>
        <v/>
      </c>
      <c r="L304" s="27">
        <f>IFERROR(HLOOKUP(Таблица5[[#Headers],[Код КазНИИСА]],'WV 4.0'!$A:$N,ROW('WV 4.0'!293:293),0),"")</f>
        <v>0</v>
      </c>
      <c r="M304" s="27" t="str">
        <f>IFERROR(HLOOKUP(Таблица5[[#Headers],[РРЦ в тнг]],'WV 4.0'!$A:$N,ROW('WV 4.0'!293:293),0),"")</f>
        <v/>
      </c>
      <c r="N304" s="27" t="str">
        <f>IFERROR(HLOOKUP(Таблица5[[#Headers],[Сумма РРЦ]],'WV 4.0'!$A:$N,ROW('WV 4.0'!293:293),0),"")</f>
        <v/>
      </c>
    </row>
    <row r="305" spans="1:14" x14ac:dyDescent="0.25">
      <c r="A305" s="29">
        <f>IFERROR('WV 4.0'!A294, " ")</f>
        <v>0</v>
      </c>
      <c r="B305" s="29">
        <f>IFERROR('WV 4.0'!B294, " ")</f>
        <v>0</v>
      </c>
      <c r="C305" s="29">
        <f>IFERROR('WV 4.0'!C294, " ")</f>
        <v>0</v>
      </c>
      <c r="D305" s="29">
        <f>IFERROR('WV 4.0'!D294, " ")</f>
        <v>0</v>
      </c>
      <c r="E305" s="29">
        <f>IFERROR('WV 4.0'!E294, " ")</f>
        <v>0</v>
      </c>
      <c r="F305" s="27">
        <f>IFERROR(ROUND(HLOOKUP(Таблица5[[#Headers],[Цена КП]],'WV 4.0'!$A:$N,ROW('WV 4.0'!294:294),0),0),"")</f>
        <v>0</v>
      </c>
      <c r="G305" s="27">
        <f>IFERROR(Таблица5[[#This Row],[Цена КП]]*Таблица5[[#This Row],[Кол-во]],"")</f>
        <v>0</v>
      </c>
      <c r="H305" s="42">
        <f>IFERROR(HLOOKUP(Таблица5[[#Headers],[Комментарии]],'WV 4.0'!$A:$N,ROW('WV 4.0'!294:294),0),"")</f>
        <v>0</v>
      </c>
      <c r="I305" s="42">
        <f>IFERROR(HLOOKUP(Таблица5[[#Headers],[Срок поставки]],'WV 4.0'!$A:$N,ROW('WV 4.0'!294:294),0),"")</f>
        <v>0</v>
      </c>
      <c r="J305" s="27" t="str">
        <f>IFERROR(HLOOKUP(Таблица5[[#Headers],[Цена КазНИИСА]],'WV 4.0'!$A:$N,ROW('WV 4.0'!294:294),0),"")</f>
        <v/>
      </c>
      <c r="K305" s="27" t="str">
        <f>IFERROR(HLOOKUP(Таблица5[[#Headers],[Сумма КазНИИСА]],'WV 4.0'!$A:$N,ROW('WV 4.0'!294:294),0),"")</f>
        <v/>
      </c>
      <c r="L305" s="27">
        <f>IFERROR(HLOOKUP(Таблица5[[#Headers],[Код КазНИИСА]],'WV 4.0'!$A:$N,ROW('WV 4.0'!294:294),0),"")</f>
        <v>0</v>
      </c>
      <c r="M305" s="27" t="str">
        <f>IFERROR(HLOOKUP(Таблица5[[#Headers],[РРЦ в тнг]],'WV 4.0'!$A:$N,ROW('WV 4.0'!294:294),0),"")</f>
        <v/>
      </c>
      <c r="N305" s="27" t="str">
        <f>IFERROR(HLOOKUP(Таблица5[[#Headers],[Сумма РРЦ]],'WV 4.0'!$A:$N,ROW('WV 4.0'!294:294),0),"")</f>
        <v/>
      </c>
    </row>
    <row r="306" spans="1:14" x14ac:dyDescent="0.25">
      <c r="A306" s="29">
        <f>IFERROR('WV 4.0'!A295, " ")</f>
        <v>0</v>
      </c>
      <c r="B306" s="29">
        <f>IFERROR('WV 4.0'!B295, " ")</f>
        <v>0</v>
      </c>
      <c r="C306" s="29">
        <f>IFERROR('WV 4.0'!C295, " ")</f>
        <v>0</v>
      </c>
      <c r="D306" s="29">
        <f>IFERROR('WV 4.0'!D295, " ")</f>
        <v>0</v>
      </c>
      <c r="E306" s="29">
        <f>IFERROR('WV 4.0'!E295, " ")</f>
        <v>0</v>
      </c>
      <c r="F306" s="27">
        <f>IFERROR(ROUND(HLOOKUP(Таблица5[[#Headers],[Цена КП]],'WV 4.0'!$A:$N,ROW('WV 4.0'!295:295),0),0),"")</f>
        <v>0</v>
      </c>
      <c r="G306" s="27">
        <f>IFERROR(Таблица5[[#This Row],[Цена КП]]*Таблица5[[#This Row],[Кол-во]],"")</f>
        <v>0</v>
      </c>
      <c r="H306" s="42">
        <f>IFERROR(HLOOKUP(Таблица5[[#Headers],[Комментарии]],'WV 4.0'!$A:$N,ROW('WV 4.0'!295:295),0),"")</f>
        <v>0</v>
      </c>
      <c r="I306" s="42">
        <f>IFERROR(HLOOKUP(Таблица5[[#Headers],[Срок поставки]],'WV 4.0'!$A:$N,ROW('WV 4.0'!295:295),0),"")</f>
        <v>0</v>
      </c>
      <c r="J306" s="27" t="str">
        <f>IFERROR(HLOOKUP(Таблица5[[#Headers],[Цена КазНИИСА]],'WV 4.0'!$A:$N,ROW('WV 4.0'!295:295),0),"")</f>
        <v/>
      </c>
      <c r="K306" s="27" t="str">
        <f>IFERROR(HLOOKUP(Таблица5[[#Headers],[Сумма КазНИИСА]],'WV 4.0'!$A:$N,ROW('WV 4.0'!295:295),0),"")</f>
        <v/>
      </c>
      <c r="L306" s="27">
        <f>IFERROR(HLOOKUP(Таблица5[[#Headers],[Код КазНИИСА]],'WV 4.0'!$A:$N,ROW('WV 4.0'!295:295),0),"")</f>
        <v>0</v>
      </c>
      <c r="M306" s="27" t="str">
        <f>IFERROR(HLOOKUP(Таблица5[[#Headers],[РРЦ в тнг]],'WV 4.0'!$A:$N,ROW('WV 4.0'!295:295),0),"")</f>
        <v/>
      </c>
      <c r="N306" s="27" t="str">
        <f>IFERROR(HLOOKUP(Таблица5[[#Headers],[Сумма РРЦ]],'WV 4.0'!$A:$N,ROW('WV 4.0'!295:295),0),"")</f>
        <v/>
      </c>
    </row>
    <row r="307" spans="1:14" x14ac:dyDescent="0.25">
      <c r="A307" s="29">
        <f>IFERROR('WV 4.0'!A296, " ")</f>
        <v>0</v>
      </c>
      <c r="B307" s="29">
        <f>IFERROR('WV 4.0'!B296, " ")</f>
        <v>0</v>
      </c>
      <c r="C307" s="29">
        <f>IFERROR('WV 4.0'!C296, " ")</f>
        <v>0</v>
      </c>
      <c r="D307" s="29">
        <f>IFERROR('WV 4.0'!D296, " ")</f>
        <v>0</v>
      </c>
      <c r="E307" s="29">
        <f>IFERROR('WV 4.0'!E296, " ")</f>
        <v>0</v>
      </c>
      <c r="F307" s="27">
        <f>IFERROR(ROUND(HLOOKUP(Таблица5[[#Headers],[Цена КП]],'WV 4.0'!$A:$N,ROW('WV 4.0'!296:296),0),0),"")</f>
        <v>0</v>
      </c>
      <c r="G307" s="27">
        <f>IFERROR(Таблица5[[#This Row],[Цена КП]]*Таблица5[[#This Row],[Кол-во]],"")</f>
        <v>0</v>
      </c>
      <c r="H307" s="42">
        <f>IFERROR(HLOOKUP(Таблица5[[#Headers],[Комментарии]],'WV 4.0'!$A:$N,ROW('WV 4.0'!296:296),0),"")</f>
        <v>0</v>
      </c>
      <c r="I307" s="42">
        <f>IFERROR(HLOOKUP(Таблица5[[#Headers],[Срок поставки]],'WV 4.0'!$A:$N,ROW('WV 4.0'!296:296),0),"")</f>
        <v>0</v>
      </c>
      <c r="J307" s="27" t="str">
        <f>IFERROR(HLOOKUP(Таблица5[[#Headers],[Цена КазНИИСА]],'WV 4.0'!$A:$N,ROW('WV 4.0'!296:296),0),"")</f>
        <v/>
      </c>
      <c r="K307" s="27" t="str">
        <f>IFERROR(HLOOKUP(Таблица5[[#Headers],[Сумма КазНИИСА]],'WV 4.0'!$A:$N,ROW('WV 4.0'!296:296),0),"")</f>
        <v/>
      </c>
      <c r="L307" s="27">
        <f>IFERROR(HLOOKUP(Таблица5[[#Headers],[Код КазНИИСА]],'WV 4.0'!$A:$N,ROW('WV 4.0'!296:296),0),"")</f>
        <v>0</v>
      </c>
      <c r="M307" s="27" t="str">
        <f>IFERROR(HLOOKUP(Таблица5[[#Headers],[РРЦ в тнг]],'WV 4.0'!$A:$N,ROW('WV 4.0'!296:296),0),"")</f>
        <v/>
      </c>
      <c r="N307" s="27" t="str">
        <f>IFERROR(HLOOKUP(Таблица5[[#Headers],[Сумма РРЦ]],'WV 4.0'!$A:$N,ROW('WV 4.0'!296:296),0),"")</f>
        <v/>
      </c>
    </row>
    <row r="308" spans="1:14" x14ac:dyDescent="0.25">
      <c r="A308" s="29">
        <f>IFERROR('WV 4.0'!A297, " ")</f>
        <v>0</v>
      </c>
      <c r="B308" s="29">
        <f>IFERROR('WV 4.0'!B297, " ")</f>
        <v>0</v>
      </c>
      <c r="C308" s="29">
        <f>IFERROR('WV 4.0'!C297, " ")</f>
        <v>0</v>
      </c>
      <c r="D308" s="29">
        <f>IFERROR('WV 4.0'!D297, " ")</f>
        <v>0</v>
      </c>
      <c r="E308" s="29">
        <f>IFERROR('WV 4.0'!E297, " ")</f>
        <v>0</v>
      </c>
      <c r="F308" s="27">
        <f>IFERROR(ROUND(HLOOKUP(Таблица5[[#Headers],[Цена КП]],'WV 4.0'!$A:$N,ROW('WV 4.0'!297:297),0),0),"")</f>
        <v>0</v>
      </c>
      <c r="G308" s="27">
        <f>IFERROR(Таблица5[[#This Row],[Цена КП]]*Таблица5[[#This Row],[Кол-во]],"")</f>
        <v>0</v>
      </c>
      <c r="H308" s="42">
        <f>IFERROR(HLOOKUP(Таблица5[[#Headers],[Комментарии]],'WV 4.0'!$A:$N,ROW('WV 4.0'!297:297),0),"")</f>
        <v>0</v>
      </c>
      <c r="I308" s="42">
        <f>IFERROR(HLOOKUP(Таблица5[[#Headers],[Срок поставки]],'WV 4.0'!$A:$N,ROW('WV 4.0'!297:297),0),"")</f>
        <v>0</v>
      </c>
      <c r="J308" s="27" t="str">
        <f>IFERROR(HLOOKUP(Таблица5[[#Headers],[Цена КазНИИСА]],'WV 4.0'!$A:$N,ROW('WV 4.0'!297:297),0),"")</f>
        <v/>
      </c>
      <c r="K308" s="27" t="str">
        <f>IFERROR(HLOOKUP(Таблица5[[#Headers],[Сумма КазНИИСА]],'WV 4.0'!$A:$N,ROW('WV 4.0'!297:297),0),"")</f>
        <v/>
      </c>
      <c r="L308" s="27">
        <f>IFERROR(HLOOKUP(Таблица5[[#Headers],[Код КазНИИСА]],'WV 4.0'!$A:$N,ROW('WV 4.0'!297:297),0),"")</f>
        <v>0</v>
      </c>
      <c r="M308" s="27" t="str">
        <f>IFERROR(HLOOKUP(Таблица5[[#Headers],[РРЦ в тнг]],'WV 4.0'!$A:$N,ROW('WV 4.0'!297:297),0),"")</f>
        <v/>
      </c>
      <c r="N308" s="27" t="str">
        <f>IFERROR(HLOOKUP(Таблица5[[#Headers],[Сумма РРЦ]],'WV 4.0'!$A:$N,ROW('WV 4.0'!297:297),0),"")</f>
        <v/>
      </c>
    </row>
    <row r="309" spans="1:14" x14ac:dyDescent="0.25">
      <c r="A309" s="29">
        <f>IFERROR('WV 4.0'!A298, " ")</f>
        <v>0</v>
      </c>
      <c r="B309" s="29">
        <f>IFERROR('WV 4.0'!B298, " ")</f>
        <v>0</v>
      </c>
      <c r="C309" s="29">
        <f>IFERROR('WV 4.0'!C298, " ")</f>
        <v>0</v>
      </c>
      <c r="D309" s="29">
        <f>IFERROR('WV 4.0'!D298, " ")</f>
        <v>0</v>
      </c>
      <c r="E309" s="29">
        <f>IFERROR('WV 4.0'!E298, " ")</f>
        <v>0</v>
      </c>
      <c r="F309" s="27">
        <f>IFERROR(ROUND(HLOOKUP(Таблица5[[#Headers],[Цена КП]],'WV 4.0'!$A:$N,ROW('WV 4.0'!298:298),0),0),"")</f>
        <v>0</v>
      </c>
      <c r="G309" s="27">
        <f>IFERROR(Таблица5[[#This Row],[Цена КП]]*Таблица5[[#This Row],[Кол-во]],"")</f>
        <v>0</v>
      </c>
      <c r="H309" s="42">
        <f>IFERROR(HLOOKUP(Таблица5[[#Headers],[Комментарии]],'WV 4.0'!$A:$N,ROW('WV 4.0'!298:298),0),"")</f>
        <v>0</v>
      </c>
      <c r="I309" s="42">
        <f>IFERROR(HLOOKUP(Таблица5[[#Headers],[Срок поставки]],'WV 4.0'!$A:$N,ROW('WV 4.0'!298:298),0),"")</f>
        <v>0</v>
      </c>
      <c r="J309" s="27" t="str">
        <f>IFERROR(HLOOKUP(Таблица5[[#Headers],[Цена КазНИИСА]],'WV 4.0'!$A:$N,ROW('WV 4.0'!298:298),0),"")</f>
        <v/>
      </c>
      <c r="K309" s="27" t="str">
        <f>IFERROR(HLOOKUP(Таблица5[[#Headers],[Сумма КазНИИСА]],'WV 4.0'!$A:$N,ROW('WV 4.0'!298:298),0),"")</f>
        <v/>
      </c>
      <c r="L309" s="27">
        <f>IFERROR(HLOOKUP(Таблица5[[#Headers],[Код КазНИИСА]],'WV 4.0'!$A:$N,ROW('WV 4.0'!298:298),0),"")</f>
        <v>0</v>
      </c>
      <c r="M309" s="27" t="str">
        <f>IFERROR(HLOOKUP(Таблица5[[#Headers],[РРЦ в тнг]],'WV 4.0'!$A:$N,ROW('WV 4.0'!298:298),0),"")</f>
        <v/>
      </c>
      <c r="N309" s="27" t="str">
        <f>IFERROR(HLOOKUP(Таблица5[[#Headers],[Сумма РРЦ]],'WV 4.0'!$A:$N,ROW('WV 4.0'!298:298),0),"")</f>
        <v/>
      </c>
    </row>
    <row r="310" spans="1:14" x14ac:dyDescent="0.25">
      <c r="A310" s="29">
        <f>IFERROR('WV 4.0'!A299, " ")</f>
        <v>0</v>
      </c>
      <c r="B310" s="29">
        <f>IFERROR('WV 4.0'!B299, " ")</f>
        <v>0</v>
      </c>
      <c r="C310" s="29">
        <f>IFERROR('WV 4.0'!C299, " ")</f>
        <v>0</v>
      </c>
      <c r="D310" s="29">
        <f>IFERROR('WV 4.0'!D299, " ")</f>
        <v>0</v>
      </c>
      <c r="E310" s="29">
        <f>IFERROR('WV 4.0'!E299, " ")</f>
        <v>0</v>
      </c>
      <c r="F310" s="27">
        <f>IFERROR(ROUND(HLOOKUP(Таблица5[[#Headers],[Цена КП]],'WV 4.0'!$A:$N,ROW('WV 4.0'!299:299),0),0),"")</f>
        <v>0</v>
      </c>
      <c r="G310" s="27">
        <f>IFERROR(Таблица5[[#This Row],[Цена КП]]*Таблица5[[#This Row],[Кол-во]],"")</f>
        <v>0</v>
      </c>
      <c r="H310" s="42">
        <f>IFERROR(HLOOKUP(Таблица5[[#Headers],[Комментарии]],'WV 4.0'!$A:$N,ROW('WV 4.0'!299:299),0),"")</f>
        <v>0</v>
      </c>
      <c r="I310" s="42">
        <f>IFERROR(HLOOKUP(Таблица5[[#Headers],[Срок поставки]],'WV 4.0'!$A:$N,ROW('WV 4.0'!299:299),0),"")</f>
        <v>0</v>
      </c>
      <c r="J310" s="27" t="str">
        <f>IFERROR(HLOOKUP(Таблица5[[#Headers],[Цена КазНИИСА]],'WV 4.0'!$A:$N,ROW('WV 4.0'!299:299),0),"")</f>
        <v/>
      </c>
      <c r="K310" s="27" t="str">
        <f>IFERROR(HLOOKUP(Таблица5[[#Headers],[Сумма КазНИИСА]],'WV 4.0'!$A:$N,ROW('WV 4.0'!299:299),0),"")</f>
        <v/>
      </c>
      <c r="L310" s="27">
        <f>IFERROR(HLOOKUP(Таблица5[[#Headers],[Код КазНИИСА]],'WV 4.0'!$A:$N,ROW('WV 4.0'!299:299),0),"")</f>
        <v>0</v>
      </c>
      <c r="M310" s="27" t="str">
        <f>IFERROR(HLOOKUP(Таблица5[[#Headers],[РРЦ в тнг]],'WV 4.0'!$A:$N,ROW('WV 4.0'!299:299),0),"")</f>
        <v/>
      </c>
      <c r="N310" s="27" t="str">
        <f>IFERROR(HLOOKUP(Таблица5[[#Headers],[Сумма РРЦ]],'WV 4.0'!$A:$N,ROW('WV 4.0'!299:299),0),"")</f>
        <v/>
      </c>
    </row>
    <row r="311" spans="1:14" x14ac:dyDescent="0.25">
      <c r="A311" s="29">
        <f>IFERROR('WV 4.0'!A300, " ")</f>
        <v>0</v>
      </c>
      <c r="B311" s="29">
        <f>IFERROR('WV 4.0'!B300, " ")</f>
        <v>0</v>
      </c>
      <c r="C311" s="29">
        <f>IFERROR('WV 4.0'!C300, " ")</f>
        <v>0</v>
      </c>
      <c r="D311" s="29">
        <f>IFERROR('WV 4.0'!D300, " ")</f>
        <v>0</v>
      </c>
      <c r="E311" s="29">
        <f>IFERROR('WV 4.0'!E300, " ")</f>
        <v>0</v>
      </c>
      <c r="F311" s="27">
        <f>IFERROR(ROUND(HLOOKUP(Таблица5[[#Headers],[Цена КП]],'WV 4.0'!$A:$N,ROW('WV 4.0'!300:300),0),0),"")</f>
        <v>0</v>
      </c>
      <c r="G311" s="27">
        <f>IFERROR(Таблица5[[#This Row],[Цена КП]]*Таблица5[[#This Row],[Кол-во]],"")</f>
        <v>0</v>
      </c>
      <c r="H311" s="42">
        <f>IFERROR(HLOOKUP(Таблица5[[#Headers],[Комментарии]],'WV 4.0'!$A:$N,ROW('WV 4.0'!300:300),0),"")</f>
        <v>0</v>
      </c>
      <c r="I311" s="42">
        <f>IFERROR(HLOOKUP(Таблица5[[#Headers],[Срок поставки]],'WV 4.0'!$A:$N,ROW('WV 4.0'!300:300),0),"")</f>
        <v>0</v>
      </c>
      <c r="J311" s="27" t="str">
        <f>IFERROR(HLOOKUP(Таблица5[[#Headers],[Цена КазНИИСА]],'WV 4.0'!$A:$N,ROW('WV 4.0'!300:300),0),"")</f>
        <v/>
      </c>
      <c r="K311" s="27" t="str">
        <f>IFERROR(HLOOKUP(Таблица5[[#Headers],[Сумма КазНИИСА]],'WV 4.0'!$A:$N,ROW('WV 4.0'!300:300),0),"")</f>
        <v/>
      </c>
      <c r="L311" s="27">
        <f>IFERROR(HLOOKUP(Таблица5[[#Headers],[Код КазНИИСА]],'WV 4.0'!$A:$N,ROW('WV 4.0'!300:300),0),"")</f>
        <v>0</v>
      </c>
      <c r="M311" s="27" t="str">
        <f>IFERROR(HLOOKUP(Таблица5[[#Headers],[РРЦ в тнг]],'WV 4.0'!$A:$N,ROW('WV 4.0'!300:300),0),"")</f>
        <v/>
      </c>
      <c r="N311" s="27" t="str">
        <f>IFERROR(HLOOKUP(Таблица5[[#Headers],[Сумма РРЦ]],'WV 4.0'!$A:$N,ROW('WV 4.0'!300:300),0),"")</f>
        <v/>
      </c>
    </row>
    <row r="312" spans="1:14" x14ac:dyDescent="0.25">
      <c r="A312" s="29">
        <f>IFERROR('WV 4.0'!A301, " ")</f>
        <v>0</v>
      </c>
      <c r="B312" s="29">
        <f>IFERROR('WV 4.0'!B301, " ")</f>
        <v>0</v>
      </c>
      <c r="C312" s="29">
        <f>IFERROR('WV 4.0'!C301, " ")</f>
        <v>0</v>
      </c>
      <c r="D312" s="29">
        <f>IFERROR('WV 4.0'!D301, " ")</f>
        <v>0</v>
      </c>
      <c r="E312" s="29">
        <f>IFERROR('WV 4.0'!E301, " ")</f>
        <v>0</v>
      </c>
      <c r="F312" s="27">
        <f>IFERROR(ROUND(HLOOKUP(Таблица5[[#Headers],[Цена КП]],'WV 4.0'!$A:$N,ROW('WV 4.0'!301:301),0),0),"")</f>
        <v>0</v>
      </c>
      <c r="G312" s="27">
        <f>IFERROR(Таблица5[[#This Row],[Цена КП]]*Таблица5[[#This Row],[Кол-во]],"")</f>
        <v>0</v>
      </c>
      <c r="H312" s="42">
        <f>IFERROR(HLOOKUP(Таблица5[[#Headers],[Комментарии]],'WV 4.0'!$A:$N,ROW('WV 4.0'!301:301),0),"")</f>
        <v>0</v>
      </c>
      <c r="I312" s="42">
        <f>IFERROR(HLOOKUP(Таблица5[[#Headers],[Срок поставки]],'WV 4.0'!$A:$N,ROW('WV 4.0'!301:301),0),"")</f>
        <v>0</v>
      </c>
      <c r="J312" s="27" t="str">
        <f>IFERROR(HLOOKUP(Таблица5[[#Headers],[Цена КазНИИСА]],'WV 4.0'!$A:$N,ROW('WV 4.0'!301:301),0),"")</f>
        <v/>
      </c>
      <c r="K312" s="27" t="str">
        <f>IFERROR(HLOOKUP(Таблица5[[#Headers],[Сумма КазНИИСА]],'WV 4.0'!$A:$N,ROW('WV 4.0'!301:301),0),"")</f>
        <v/>
      </c>
      <c r="L312" s="27">
        <f>IFERROR(HLOOKUP(Таблица5[[#Headers],[Код КазНИИСА]],'WV 4.0'!$A:$N,ROW('WV 4.0'!301:301),0),"")</f>
        <v>0</v>
      </c>
      <c r="M312" s="27" t="str">
        <f>IFERROR(HLOOKUP(Таблица5[[#Headers],[РРЦ в тнг]],'WV 4.0'!$A:$N,ROW('WV 4.0'!301:301),0),"")</f>
        <v/>
      </c>
      <c r="N312" s="27" t="str">
        <f>IFERROR(HLOOKUP(Таблица5[[#Headers],[Сумма РРЦ]],'WV 4.0'!$A:$N,ROW('WV 4.0'!301:301),0),"")</f>
        <v/>
      </c>
    </row>
    <row r="313" spans="1:14" x14ac:dyDescent="0.25">
      <c r="A313" s="29">
        <f>IFERROR('WV 4.0'!A302, " ")</f>
        <v>0</v>
      </c>
      <c r="B313" s="29">
        <f>IFERROR('WV 4.0'!B302, " ")</f>
        <v>0</v>
      </c>
      <c r="C313" s="29">
        <f>IFERROR('WV 4.0'!C302, " ")</f>
        <v>0</v>
      </c>
      <c r="D313" s="29">
        <f>IFERROR('WV 4.0'!D302, " ")</f>
        <v>0</v>
      </c>
      <c r="E313" s="29">
        <f>IFERROR('WV 4.0'!E302, " ")</f>
        <v>0</v>
      </c>
      <c r="F313" s="27">
        <f>IFERROR(ROUND(HLOOKUP(Таблица5[[#Headers],[Цена КП]],'WV 4.0'!$A:$N,ROW('WV 4.0'!302:302),0),0),"")</f>
        <v>0</v>
      </c>
      <c r="G313" s="27">
        <f>IFERROR(Таблица5[[#This Row],[Цена КП]]*Таблица5[[#This Row],[Кол-во]],"")</f>
        <v>0</v>
      </c>
      <c r="H313" s="42">
        <f>IFERROR(HLOOKUP(Таблица5[[#Headers],[Комментарии]],'WV 4.0'!$A:$N,ROW('WV 4.0'!302:302),0),"")</f>
        <v>0</v>
      </c>
      <c r="I313" s="42">
        <f>IFERROR(HLOOKUP(Таблица5[[#Headers],[Срок поставки]],'WV 4.0'!$A:$N,ROW('WV 4.0'!302:302),0),"")</f>
        <v>0</v>
      </c>
      <c r="J313" s="27" t="str">
        <f>IFERROR(HLOOKUP(Таблица5[[#Headers],[Цена КазНИИСА]],'WV 4.0'!$A:$N,ROW('WV 4.0'!302:302),0),"")</f>
        <v/>
      </c>
      <c r="K313" s="27" t="str">
        <f>IFERROR(HLOOKUP(Таблица5[[#Headers],[Сумма КазНИИСА]],'WV 4.0'!$A:$N,ROW('WV 4.0'!302:302),0),"")</f>
        <v/>
      </c>
      <c r="L313" s="27">
        <f>IFERROR(HLOOKUP(Таблица5[[#Headers],[Код КазНИИСА]],'WV 4.0'!$A:$N,ROW('WV 4.0'!302:302),0),"")</f>
        <v>0</v>
      </c>
      <c r="M313" s="27" t="str">
        <f>IFERROR(HLOOKUP(Таблица5[[#Headers],[РРЦ в тнг]],'WV 4.0'!$A:$N,ROW('WV 4.0'!302:302),0),"")</f>
        <v/>
      </c>
      <c r="N313" s="27" t="str">
        <f>IFERROR(HLOOKUP(Таблица5[[#Headers],[Сумма РРЦ]],'WV 4.0'!$A:$N,ROW('WV 4.0'!302:302),0),"")</f>
        <v/>
      </c>
    </row>
    <row r="314" spans="1:14" x14ac:dyDescent="0.25">
      <c r="A314" s="29">
        <f>IFERROR('WV 4.0'!A303, " ")</f>
        <v>0</v>
      </c>
      <c r="B314" s="29">
        <f>IFERROR('WV 4.0'!B303, " ")</f>
        <v>0</v>
      </c>
      <c r="C314" s="29">
        <f>IFERROR('WV 4.0'!C303, " ")</f>
        <v>0</v>
      </c>
      <c r="D314" s="29">
        <f>IFERROR('WV 4.0'!D303, " ")</f>
        <v>0</v>
      </c>
      <c r="E314" s="29">
        <f>IFERROR('WV 4.0'!E303, " ")</f>
        <v>0</v>
      </c>
      <c r="F314" s="27">
        <f>IFERROR(ROUND(HLOOKUP(Таблица5[[#Headers],[Цена КП]],'WV 4.0'!$A:$N,ROW('WV 4.0'!303:303),0),0),"")</f>
        <v>0</v>
      </c>
      <c r="G314" s="27">
        <f>IFERROR(Таблица5[[#This Row],[Цена КП]]*Таблица5[[#This Row],[Кол-во]],"")</f>
        <v>0</v>
      </c>
      <c r="H314" s="42">
        <f>IFERROR(HLOOKUP(Таблица5[[#Headers],[Комментарии]],'WV 4.0'!$A:$N,ROW('WV 4.0'!303:303),0),"")</f>
        <v>0</v>
      </c>
      <c r="I314" s="42">
        <f>IFERROR(HLOOKUP(Таблица5[[#Headers],[Срок поставки]],'WV 4.0'!$A:$N,ROW('WV 4.0'!303:303),0),"")</f>
        <v>0</v>
      </c>
      <c r="J314" s="27" t="str">
        <f>IFERROR(HLOOKUP(Таблица5[[#Headers],[Цена КазНИИСА]],'WV 4.0'!$A:$N,ROW('WV 4.0'!303:303),0),"")</f>
        <v/>
      </c>
      <c r="K314" s="27" t="str">
        <f>IFERROR(HLOOKUP(Таблица5[[#Headers],[Сумма КазНИИСА]],'WV 4.0'!$A:$N,ROW('WV 4.0'!303:303),0),"")</f>
        <v/>
      </c>
      <c r="L314" s="27">
        <f>IFERROR(HLOOKUP(Таблица5[[#Headers],[Код КазНИИСА]],'WV 4.0'!$A:$N,ROW('WV 4.0'!303:303),0),"")</f>
        <v>0</v>
      </c>
      <c r="M314" s="27" t="str">
        <f>IFERROR(HLOOKUP(Таблица5[[#Headers],[РРЦ в тнг]],'WV 4.0'!$A:$N,ROW('WV 4.0'!303:303),0),"")</f>
        <v/>
      </c>
      <c r="N314" s="27" t="str">
        <f>IFERROR(HLOOKUP(Таблица5[[#Headers],[Сумма РРЦ]],'WV 4.0'!$A:$N,ROW('WV 4.0'!303:303),0),"")</f>
        <v/>
      </c>
    </row>
    <row r="315" spans="1:14" x14ac:dyDescent="0.25">
      <c r="A315" s="29">
        <f>IFERROR('WV 4.0'!A304, " ")</f>
        <v>0</v>
      </c>
      <c r="B315" s="29">
        <f>IFERROR('WV 4.0'!B304, " ")</f>
        <v>0</v>
      </c>
      <c r="C315" s="29">
        <f>IFERROR('WV 4.0'!C304, " ")</f>
        <v>0</v>
      </c>
      <c r="D315" s="29">
        <f>IFERROR('WV 4.0'!D304, " ")</f>
        <v>0</v>
      </c>
      <c r="E315" s="29">
        <f>IFERROR('WV 4.0'!E304, " ")</f>
        <v>0</v>
      </c>
      <c r="F315" s="27">
        <f>IFERROR(ROUND(HLOOKUP(Таблица5[[#Headers],[Цена КП]],'WV 4.0'!$A:$N,ROW('WV 4.0'!304:304),0),0),"")</f>
        <v>0</v>
      </c>
      <c r="G315" s="27">
        <f>IFERROR(Таблица5[[#This Row],[Цена КП]]*Таблица5[[#This Row],[Кол-во]],"")</f>
        <v>0</v>
      </c>
      <c r="H315" s="42">
        <f>IFERROR(HLOOKUP(Таблица5[[#Headers],[Комментарии]],'WV 4.0'!$A:$N,ROW('WV 4.0'!304:304),0),"")</f>
        <v>0</v>
      </c>
      <c r="I315" s="42">
        <f>IFERROR(HLOOKUP(Таблица5[[#Headers],[Срок поставки]],'WV 4.0'!$A:$N,ROW('WV 4.0'!304:304),0),"")</f>
        <v>0</v>
      </c>
      <c r="J315" s="27" t="str">
        <f>IFERROR(HLOOKUP(Таблица5[[#Headers],[Цена КазНИИСА]],'WV 4.0'!$A:$N,ROW('WV 4.0'!304:304),0),"")</f>
        <v/>
      </c>
      <c r="K315" s="27" t="str">
        <f>IFERROR(HLOOKUP(Таблица5[[#Headers],[Сумма КазНИИСА]],'WV 4.0'!$A:$N,ROW('WV 4.0'!304:304),0),"")</f>
        <v/>
      </c>
      <c r="L315" s="27">
        <f>IFERROR(HLOOKUP(Таблица5[[#Headers],[Код КазНИИСА]],'WV 4.0'!$A:$N,ROW('WV 4.0'!304:304),0),"")</f>
        <v>0</v>
      </c>
      <c r="M315" s="27" t="str">
        <f>IFERROR(HLOOKUP(Таблица5[[#Headers],[РРЦ в тнг]],'WV 4.0'!$A:$N,ROW('WV 4.0'!304:304),0),"")</f>
        <v/>
      </c>
      <c r="N315" s="27" t="str">
        <f>IFERROR(HLOOKUP(Таблица5[[#Headers],[Сумма РРЦ]],'WV 4.0'!$A:$N,ROW('WV 4.0'!304:304),0),"")</f>
        <v/>
      </c>
    </row>
    <row r="316" spans="1:14" x14ac:dyDescent="0.25">
      <c r="A316" s="29">
        <f>IFERROR('WV 4.0'!A305, " ")</f>
        <v>0</v>
      </c>
      <c r="B316" s="29">
        <f>IFERROR('WV 4.0'!B305, " ")</f>
        <v>0</v>
      </c>
      <c r="C316" s="29">
        <f>IFERROR('WV 4.0'!C305, " ")</f>
        <v>0</v>
      </c>
      <c r="D316" s="29">
        <f>IFERROR('WV 4.0'!D305, " ")</f>
        <v>0</v>
      </c>
      <c r="E316" s="29">
        <f>IFERROR('WV 4.0'!E305, " ")</f>
        <v>0</v>
      </c>
      <c r="F316" s="27">
        <f>IFERROR(ROUND(HLOOKUP(Таблица5[[#Headers],[Цена КП]],'WV 4.0'!$A:$N,ROW('WV 4.0'!305:305),0),0),"")</f>
        <v>0</v>
      </c>
      <c r="G316" s="27">
        <f>IFERROR(Таблица5[[#This Row],[Цена КП]]*Таблица5[[#This Row],[Кол-во]],"")</f>
        <v>0</v>
      </c>
      <c r="H316" s="42">
        <f>IFERROR(HLOOKUP(Таблица5[[#Headers],[Комментарии]],'WV 4.0'!$A:$N,ROW('WV 4.0'!305:305),0),"")</f>
        <v>0</v>
      </c>
      <c r="I316" s="42">
        <f>IFERROR(HLOOKUP(Таблица5[[#Headers],[Срок поставки]],'WV 4.0'!$A:$N,ROW('WV 4.0'!305:305),0),"")</f>
        <v>0</v>
      </c>
      <c r="J316" s="27" t="str">
        <f>IFERROR(HLOOKUP(Таблица5[[#Headers],[Цена КазНИИСА]],'WV 4.0'!$A:$N,ROW('WV 4.0'!305:305),0),"")</f>
        <v/>
      </c>
      <c r="K316" s="27" t="str">
        <f>IFERROR(HLOOKUP(Таблица5[[#Headers],[Сумма КазНИИСА]],'WV 4.0'!$A:$N,ROW('WV 4.0'!305:305),0),"")</f>
        <v/>
      </c>
      <c r="L316" s="27">
        <f>IFERROR(HLOOKUP(Таблица5[[#Headers],[Код КазНИИСА]],'WV 4.0'!$A:$N,ROW('WV 4.0'!305:305),0),"")</f>
        <v>0</v>
      </c>
      <c r="M316" s="27" t="str">
        <f>IFERROR(HLOOKUP(Таблица5[[#Headers],[РРЦ в тнг]],'WV 4.0'!$A:$N,ROW('WV 4.0'!305:305),0),"")</f>
        <v/>
      </c>
      <c r="N316" s="27" t="str">
        <f>IFERROR(HLOOKUP(Таблица5[[#Headers],[Сумма РРЦ]],'WV 4.0'!$A:$N,ROW('WV 4.0'!305:305),0),"")</f>
        <v/>
      </c>
    </row>
    <row r="317" spans="1:14" x14ac:dyDescent="0.25">
      <c r="A317" s="29">
        <f>IFERROR('WV 4.0'!A306, " ")</f>
        <v>0</v>
      </c>
      <c r="B317" s="29">
        <f>IFERROR('WV 4.0'!B306, " ")</f>
        <v>0</v>
      </c>
      <c r="C317" s="29">
        <f>IFERROR('WV 4.0'!C306, " ")</f>
        <v>0</v>
      </c>
      <c r="D317" s="29">
        <f>IFERROR('WV 4.0'!D306, " ")</f>
        <v>0</v>
      </c>
      <c r="E317" s="29">
        <f>IFERROR('WV 4.0'!E306, " ")</f>
        <v>0</v>
      </c>
      <c r="F317" s="27">
        <f>IFERROR(ROUND(HLOOKUP(Таблица5[[#Headers],[Цена КП]],'WV 4.0'!$A:$N,ROW('WV 4.0'!306:306),0),0),"")</f>
        <v>0</v>
      </c>
      <c r="G317" s="27">
        <f>IFERROR(Таблица5[[#This Row],[Цена КП]]*Таблица5[[#This Row],[Кол-во]],"")</f>
        <v>0</v>
      </c>
      <c r="H317" s="42">
        <f>IFERROR(HLOOKUP(Таблица5[[#Headers],[Комментарии]],'WV 4.0'!$A:$N,ROW('WV 4.0'!306:306),0),"")</f>
        <v>0</v>
      </c>
      <c r="I317" s="42">
        <f>IFERROR(HLOOKUP(Таблица5[[#Headers],[Срок поставки]],'WV 4.0'!$A:$N,ROW('WV 4.0'!306:306),0),"")</f>
        <v>0</v>
      </c>
      <c r="J317" s="27" t="str">
        <f>IFERROR(HLOOKUP(Таблица5[[#Headers],[Цена КазНИИСА]],'WV 4.0'!$A:$N,ROW('WV 4.0'!306:306),0),"")</f>
        <v/>
      </c>
      <c r="K317" s="27" t="str">
        <f>IFERROR(HLOOKUP(Таблица5[[#Headers],[Сумма КазНИИСА]],'WV 4.0'!$A:$N,ROW('WV 4.0'!306:306),0),"")</f>
        <v/>
      </c>
      <c r="L317" s="27">
        <f>IFERROR(HLOOKUP(Таблица5[[#Headers],[Код КазНИИСА]],'WV 4.0'!$A:$N,ROW('WV 4.0'!306:306),0),"")</f>
        <v>0</v>
      </c>
      <c r="M317" s="27" t="str">
        <f>IFERROR(HLOOKUP(Таблица5[[#Headers],[РРЦ в тнг]],'WV 4.0'!$A:$N,ROW('WV 4.0'!306:306),0),"")</f>
        <v/>
      </c>
      <c r="N317" s="27" t="str">
        <f>IFERROR(HLOOKUP(Таблица5[[#Headers],[Сумма РРЦ]],'WV 4.0'!$A:$N,ROW('WV 4.0'!306:306),0),"")</f>
        <v/>
      </c>
    </row>
    <row r="318" spans="1:14" x14ac:dyDescent="0.25">
      <c r="A318" s="29">
        <f>IFERROR('WV 4.0'!A307, " ")</f>
        <v>0</v>
      </c>
      <c r="B318" s="29">
        <f>IFERROR('WV 4.0'!B307, " ")</f>
        <v>0</v>
      </c>
      <c r="C318" s="29">
        <f>IFERROR('WV 4.0'!C307, " ")</f>
        <v>0</v>
      </c>
      <c r="D318" s="29">
        <f>IFERROR('WV 4.0'!D307, " ")</f>
        <v>0</v>
      </c>
      <c r="E318" s="29">
        <f>IFERROR('WV 4.0'!E307, " ")</f>
        <v>0</v>
      </c>
      <c r="F318" s="27">
        <f>IFERROR(ROUND(HLOOKUP(Таблица5[[#Headers],[Цена КП]],'WV 4.0'!$A:$N,ROW('WV 4.0'!307:307),0),0),"")</f>
        <v>0</v>
      </c>
      <c r="G318" s="27">
        <f>IFERROR(Таблица5[[#This Row],[Цена КП]]*Таблица5[[#This Row],[Кол-во]],"")</f>
        <v>0</v>
      </c>
      <c r="H318" s="42">
        <f>IFERROR(HLOOKUP(Таблица5[[#Headers],[Комментарии]],'WV 4.0'!$A:$N,ROW('WV 4.0'!307:307),0),"")</f>
        <v>0</v>
      </c>
      <c r="I318" s="42">
        <f>IFERROR(HLOOKUP(Таблица5[[#Headers],[Срок поставки]],'WV 4.0'!$A:$N,ROW('WV 4.0'!307:307),0),"")</f>
        <v>0</v>
      </c>
      <c r="J318" s="27" t="str">
        <f>IFERROR(HLOOKUP(Таблица5[[#Headers],[Цена КазНИИСА]],'WV 4.0'!$A:$N,ROW('WV 4.0'!307:307),0),"")</f>
        <v/>
      </c>
      <c r="K318" s="27" t="str">
        <f>IFERROR(HLOOKUP(Таблица5[[#Headers],[Сумма КазНИИСА]],'WV 4.0'!$A:$N,ROW('WV 4.0'!307:307),0),"")</f>
        <v/>
      </c>
      <c r="L318" s="27">
        <f>IFERROR(HLOOKUP(Таблица5[[#Headers],[Код КазНИИСА]],'WV 4.0'!$A:$N,ROW('WV 4.0'!307:307),0),"")</f>
        <v>0</v>
      </c>
      <c r="M318" s="27" t="str">
        <f>IFERROR(HLOOKUP(Таблица5[[#Headers],[РРЦ в тнг]],'WV 4.0'!$A:$N,ROW('WV 4.0'!307:307),0),"")</f>
        <v/>
      </c>
      <c r="N318" s="27" t="str">
        <f>IFERROR(HLOOKUP(Таблица5[[#Headers],[Сумма РРЦ]],'WV 4.0'!$A:$N,ROW('WV 4.0'!307:307),0),"")</f>
        <v/>
      </c>
    </row>
    <row r="319" spans="1:14" x14ac:dyDescent="0.25">
      <c r="A319" s="29">
        <f>IFERROR('WV 4.0'!A308, " ")</f>
        <v>0</v>
      </c>
      <c r="B319" s="29">
        <f>IFERROR('WV 4.0'!B308, " ")</f>
        <v>0</v>
      </c>
      <c r="C319" s="29">
        <f>IFERROR('WV 4.0'!C308, " ")</f>
        <v>0</v>
      </c>
      <c r="D319" s="29">
        <f>IFERROR('WV 4.0'!D308, " ")</f>
        <v>0</v>
      </c>
      <c r="E319" s="29">
        <f>IFERROR('WV 4.0'!E308, " ")</f>
        <v>0</v>
      </c>
      <c r="F319" s="27">
        <f>IFERROR(ROUND(HLOOKUP(Таблица5[[#Headers],[Цена КП]],'WV 4.0'!$A:$N,ROW('WV 4.0'!308:308),0),0),"")</f>
        <v>0</v>
      </c>
      <c r="G319" s="27">
        <f>IFERROR(Таблица5[[#This Row],[Цена КП]]*Таблица5[[#This Row],[Кол-во]],"")</f>
        <v>0</v>
      </c>
      <c r="H319" s="42">
        <f>IFERROR(HLOOKUP(Таблица5[[#Headers],[Комментарии]],'WV 4.0'!$A:$N,ROW('WV 4.0'!308:308),0),"")</f>
        <v>0</v>
      </c>
      <c r="I319" s="42">
        <f>IFERROR(HLOOKUP(Таблица5[[#Headers],[Срок поставки]],'WV 4.0'!$A:$N,ROW('WV 4.0'!308:308),0),"")</f>
        <v>0</v>
      </c>
      <c r="J319" s="27" t="str">
        <f>IFERROR(HLOOKUP(Таблица5[[#Headers],[Цена КазНИИСА]],'WV 4.0'!$A:$N,ROW('WV 4.0'!308:308),0),"")</f>
        <v/>
      </c>
      <c r="K319" s="27" t="str">
        <f>IFERROR(HLOOKUP(Таблица5[[#Headers],[Сумма КазНИИСА]],'WV 4.0'!$A:$N,ROW('WV 4.0'!308:308),0),"")</f>
        <v/>
      </c>
      <c r="L319" s="27">
        <f>IFERROR(HLOOKUP(Таблица5[[#Headers],[Код КазНИИСА]],'WV 4.0'!$A:$N,ROW('WV 4.0'!308:308),0),"")</f>
        <v>0</v>
      </c>
      <c r="M319" s="27" t="str">
        <f>IFERROR(HLOOKUP(Таблица5[[#Headers],[РРЦ в тнг]],'WV 4.0'!$A:$N,ROW('WV 4.0'!308:308),0),"")</f>
        <v/>
      </c>
      <c r="N319" s="27" t="str">
        <f>IFERROR(HLOOKUP(Таблица5[[#Headers],[Сумма РРЦ]],'WV 4.0'!$A:$N,ROW('WV 4.0'!308:308),0),"")</f>
        <v/>
      </c>
    </row>
    <row r="320" spans="1:14" x14ac:dyDescent="0.25">
      <c r="A320" s="29">
        <f>IFERROR('WV 4.0'!A309, " ")</f>
        <v>0</v>
      </c>
      <c r="B320" s="29">
        <f>IFERROR('WV 4.0'!B309, " ")</f>
        <v>0</v>
      </c>
      <c r="C320" s="29">
        <f>IFERROR('WV 4.0'!C309, " ")</f>
        <v>0</v>
      </c>
      <c r="D320" s="29">
        <f>IFERROR('WV 4.0'!D309, " ")</f>
        <v>0</v>
      </c>
      <c r="E320" s="29">
        <f>IFERROR('WV 4.0'!E309, " ")</f>
        <v>0</v>
      </c>
      <c r="F320" s="27">
        <f>IFERROR(ROUND(HLOOKUP(Таблица5[[#Headers],[Цена КП]],'WV 4.0'!$A:$N,ROW('WV 4.0'!309:309),0),0),"")</f>
        <v>0</v>
      </c>
      <c r="G320" s="27">
        <f>IFERROR(Таблица5[[#This Row],[Цена КП]]*Таблица5[[#This Row],[Кол-во]],"")</f>
        <v>0</v>
      </c>
      <c r="H320" s="42">
        <f>IFERROR(HLOOKUP(Таблица5[[#Headers],[Комментарии]],'WV 4.0'!$A:$N,ROW('WV 4.0'!309:309),0),"")</f>
        <v>0</v>
      </c>
      <c r="I320" s="42">
        <f>IFERROR(HLOOKUP(Таблица5[[#Headers],[Срок поставки]],'WV 4.0'!$A:$N,ROW('WV 4.0'!309:309),0),"")</f>
        <v>0</v>
      </c>
      <c r="J320" s="27" t="str">
        <f>IFERROR(HLOOKUP(Таблица5[[#Headers],[Цена КазНИИСА]],'WV 4.0'!$A:$N,ROW('WV 4.0'!309:309),0),"")</f>
        <v/>
      </c>
      <c r="K320" s="27" t="str">
        <f>IFERROR(HLOOKUP(Таблица5[[#Headers],[Сумма КазНИИСА]],'WV 4.0'!$A:$N,ROW('WV 4.0'!309:309),0),"")</f>
        <v/>
      </c>
      <c r="L320" s="27">
        <f>IFERROR(HLOOKUP(Таблица5[[#Headers],[Код КазНИИСА]],'WV 4.0'!$A:$N,ROW('WV 4.0'!309:309),0),"")</f>
        <v>0</v>
      </c>
      <c r="M320" s="27" t="str">
        <f>IFERROR(HLOOKUP(Таблица5[[#Headers],[РРЦ в тнг]],'WV 4.0'!$A:$N,ROW('WV 4.0'!309:309),0),"")</f>
        <v/>
      </c>
      <c r="N320" s="27" t="str">
        <f>IFERROR(HLOOKUP(Таблица5[[#Headers],[Сумма РРЦ]],'WV 4.0'!$A:$N,ROW('WV 4.0'!309:309),0),"")</f>
        <v/>
      </c>
    </row>
    <row r="321" spans="1:14" x14ac:dyDescent="0.25">
      <c r="A321" s="29">
        <f>IFERROR('WV 4.0'!A310, " ")</f>
        <v>0</v>
      </c>
      <c r="B321" s="29">
        <f>IFERROR('WV 4.0'!B310, " ")</f>
        <v>0</v>
      </c>
      <c r="C321" s="29">
        <f>IFERROR('WV 4.0'!C310, " ")</f>
        <v>0</v>
      </c>
      <c r="D321" s="29">
        <f>IFERROR('WV 4.0'!D310, " ")</f>
        <v>0</v>
      </c>
      <c r="E321" s="29">
        <f>IFERROR('WV 4.0'!E310, " ")</f>
        <v>0</v>
      </c>
      <c r="F321" s="27">
        <f>IFERROR(ROUND(HLOOKUP(Таблица5[[#Headers],[Цена КП]],'WV 4.0'!$A:$N,ROW('WV 4.0'!310:310),0),0),"")</f>
        <v>0</v>
      </c>
      <c r="G321" s="27">
        <f>IFERROR(Таблица5[[#This Row],[Цена КП]]*Таблица5[[#This Row],[Кол-во]],"")</f>
        <v>0</v>
      </c>
      <c r="H321" s="42">
        <f>IFERROR(HLOOKUP(Таблица5[[#Headers],[Комментарии]],'WV 4.0'!$A:$N,ROW('WV 4.0'!310:310),0),"")</f>
        <v>0</v>
      </c>
      <c r="I321" s="42">
        <f>IFERROR(HLOOKUP(Таблица5[[#Headers],[Срок поставки]],'WV 4.0'!$A:$N,ROW('WV 4.0'!310:310),0),"")</f>
        <v>0</v>
      </c>
      <c r="J321" s="27" t="str">
        <f>IFERROR(HLOOKUP(Таблица5[[#Headers],[Цена КазНИИСА]],'WV 4.0'!$A:$N,ROW('WV 4.0'!310:310),0),"")</f>
        <v/>
      </c>
      <c r="K321" s="27" t="str">
        <f>IFERROR(HLOOKUP(Таблица5[[#Headers],[Сумма КазНИИСА]],'WV 4.0'!$A:$N,ROW('WV 4.0'!310:310),0),"")</f>
        <v/>
      </c>
      <c r="L321" s="27">
        <f>IFERROR(HLOOKUP(Таблица5[[#Headers],[Код КазНИИСА]],'WV 4.0'!$A:$N,ROW('WV 4.0'!310:310),0),"")</f>
        <v>0</v>
      </c>
      <c r="M321" s="27" t="str">
        <f>IFERROR(HLOOKUP(Таблица5[[#Headers],[РРЦ в тнг]],'WV 4.0'!$A:$N,ROW('WV 4.0'!310:310),0),"")</f>
        <v/>
      </c>
      <c r="N321" s="27" t="str">
        <f>IFERROR(HLOOKUP(Таблица5[[#Headers],[Сумма РРЦ]],'WV 4.0'!$A:$N,ROW('WV 4.0'!310:310),0),"")</f>
        <v/>
      </c>
    </row>
    <row r="322" spans="1:14" x14ac:dyDescent="0.25">
      <c r="A322" s="29">
        <f>IFERROR('WV 4.0'!A311, " ")</f>
        <v>0</v>
      </c>
      <c r="B322" s="29">
        <f>IFERROR('WV 4.0'!B311, " ")</f>
        <v>0</v>
      </c>
      <c r="C322" s="29">
        <f>IFERROR('WV 4.0'!C311, " ")</f>
        <v>0</v>
      </c>
      <c r="D322" s="29">
        <f>IFERROR('WV 4.0'!D311, " ")</f>
        <v>0</v>
      </c>
      <c r="E322" s="29">
        <f>IFERROR('WV 4.0'!E311, " ")</f>
        <v>0</v>
      </c>
      <c r="F322" s="27">
        <f>IFERROR(ROUND(HLOOKUP(Таблица5[[#Headers],[Цена КП]],'WV 4.0'!$A:$N,ROW('WV 4.0'!311:311),0),0),"")</f>
        <v>0</v>
      </c>
      <c r="G322" s="27">
        <f>IFERROR(Таблица5[[#This Row],[Цена КП]]*Таблица5[[#This Row],[Кол-во]],"")</f>
        <v>0</v>
      </c>
      <c r="H322" s="42">
        <f>IFERROR(HLOOKUP(Таблица5[[#Headers],[Комментарии]],'WV 4.0'!$A:$N,ROW('WV 4.0'!311:311),0),"")</f>
        <v>0</v>
      </c>
      <c r="I322" s="42">
        <f>IFERROR(HLOOKUP(Таблица5[[#Headers],[Срок поставки]],'WV 4.0'!$A:$N,ROW('WV 4.0'!311:311),0),"")</f>
        <v>0</v>
      </c>
      <c r="J322" s="27" t="str">
        <f>IFERROR(HLOOKUP(Таблица5[[#Headers],[Цена КазНИИСА]],'WV 4.0'!$A:$N,ROW('WV 4.0'!311:311),0),"")</f>
        <v/>
      </c>
      <c r="K322" s="27" t="str">
        <f>IFERROR(HLOOKUP(Таблица5[[#Headers],[Сумма КазНИИСА]],'WV 4.0'!$A:$N,ROW('WV 4.0'!311:311),0),"")</f>
        <v/>
      </c>
      <c r="L322" s="27">
        <f>IFERROR(HLOOKUP(Таблица5[[#Headers],[Код КазНИИСА]],'WV 4.0'!$A:$N,ROW('WV 4.0'!311:311),0),"")</f>
        <v>0</v>
      </c>
      <c r="M322" s="27" t="str">
        <f>IFERROR(HLOOKUP(Таблица5[[#Headers],[РРЦ в тнг]],'WV 4.0'!$A:$N,ROW('WV 4.0'!311:311),0),"")</f>
        <v/>
      </c>
      <c r="N322" s="27" t="str">
        <f>IFERROR(HLOOKUP(Таблица5[[#Headers],[Сумма РРЦ]],'WV 4.0'!$A:$N,ROW('WV 4.0'!311:311),0),"")</f>
        <v/>
      </c>
    </row>
    <row r="323" spans="1:14" x14ac:dyDescent="0.25">
      <c r="A323" s="29">
        <f>IFERROR('WV 4.0'!A312, " ")</f>
        <v>0</v>
      </c>
      <c r="B323" s="29">
        <f>IFERROR('WV 4.0'!B312, " ")</f>
        <v>0</v>
      </c>
      <c r="C323" s="29">
        <f>IFERROR('WV 4.0'!C312, " ")</f>
        <v>0</v>
      </c>
      <c r="D323" s="29">
        <f>IFERROR('WV 4.0'!D312, " ")</f>
        <v>0</v>
      </c>
      <c r="E323" s="29">
        <f>IFERROR('WV 4.0'!E312, " ")</f>
        <v>0</v>
      </c>
      <c r="F323" s="27">
        <f>IFERROR(ROUND(HLOOKUP(Таблица5[[#Headers],[Цена КП]],'WV 4.0'!$A:$N,ROW('WV 4.0'!312:312),0),0),"")</f>
        <v>0</v>
      </c>
      <c r="G323" s="27">
        <f>IFERROR(Таблица5[[#This Row],[Цена КП]]*Таблица5[[#This Row],[Кол-во]],"")</f>
        <v>0</v>
      </c>
      <c r="H323" s="42">
        <f>IFERROR(HLOOKUP(Таблица5[[#Headers],[Комментарии]],'WV 4.0'!$A:$N,ROW('WV 4.0'!312:312),0),"")</f>
        <v>0</v>
      </c>
      <c r="I323" s="42">
        <f>IFERROR(HLOOKUP(Таблица5[[#Headers],[Срок поставки]],'WV 4.0'!$A:$N,ROW('WV 4.0'!312:312),0),"")</f>
        <v>0</v>
      </c>
      <c r="J323" s="27" t="str">
        <f>IFERROR(HLOOKUP(Таблица5[[#Headers],[Цена КазНИИСА]],'WV 4.0'!$A:$N,ROW('WV 4.0'!312:312),0),"")</f>
        <v/>
      </c>
      <c r="K323" s="27" t="str">
        <f>IFERROR(HLOOKUP(Таблица5[[#Headers],[Сумма КазНИИСА]],'WV 4.0'!$A:$N,ROW('WV 4.0'!312:312),0),"")</f>
        <v/>
      </c>
      <c r="L323" s="27">
        <f>IFERROR(HLOOKUP(Таблица5[[#Headers],[Код КазНИИСА]],'WV 4.0'!$A:$N,ROW('WV 4.0'!312:312),0),"")</f>
        <v>0</v>
      </c>
      <c r="M323" s="27" t="str">
        <f>IFERROR(HLOOKUP(Таблица5[[#Headers],[РРЦ в тнг]],'WV 4.0'!$A:$N,ROW('WV 4.0'!312:312),0),"")</f>
        <v/>
      </c>
      <c r="N323" s="27" t="str">
        <f>IFERROR(HLOOKUP(Таблица5[[#Headers],[Сумма РРЦ]],'WV 4.0'!$A:$N,ROW('WV 4.0'!312:312),0),"")</f>
        <v/>
      </c>
    </row>
    <row r="324" spans="1:14" x14ac:dyDescent="0.25">
      <c r="A324" s="29">
        <f>IFERROR('WV 4.0'!A313, " ")</f>
        <v>0</v>
      </c>
      <c r="B324" s="29">
        <f>IFERROR('WV 4.0'!B313, " ")</f>
        <v>0</v>
      </c>
      <c r="C324" s="29">
        <f>IFERROR('WV 4.0'!C313, " ")</f>
        <v>0</v>
      </c>
      <c r="D324" s="29">
        <f>IFERROR('WV 4.0'!D313, " ")</f>
        <v>0</v>
      </c>
      <c r="E324" s="29">
        <f>IFERROR('WV 4.0'!E313, " ")</f>
        <v>0</v>
      </c>
      <c r="F324" s="27">
        <f>IFERROR(ROUND(HLOOKUP(Таблица5[[#Headers],[Цена КП]],'WV 4.0'!$A:$N,ROW('WV 4.0'!313:313),0),0),"")</f>
        <v>0</v>
      </c>
      <c r="G324" s="27">
        <f>IFERROR(Таблица5[[#This Row],[Цена КП]]*Таблица5[[#This Row],[Кол-во]],"")</f>
        <v>0</v>
      </c>
      <c r="H324" s="42">
        <f>IFERROR(HLOOKUP(Таблица5[[#Headers],[Комментарии]],'WV 4.0'!$A:$N,ROW('WV 4.0'!313:313),0),"")</f>
        <v>0</v>
      </c>
      <c r="I324" s="42">
        <f>IFERROR(HLOOKUP(Таблица5[[#Headers],[Срок поставки]],'WV 4.0'!$A:$N,ROW('WV 4.0'!313:313),0),"")</f>
        <v>0</v>
      </c>
      <c r="J324" s="27" t="str">
        <f>IFERROR(HLOOKUP(Таблица5[[#Headers],[Цена КазНИИСА]],'WV 4.0'!$A:$N,ROW('WV 4.0'!313:313),0),"")</f>
        <v/>
      </c>
      <c r="K324" s="27" t="str">
        <f>IFERROR(HLOOKUP(Таблица5[[#Headers],[Сумма КазНИИСА]],'WV 4.0'!$A:$N,ROW('WV 4.0'!313:313),0),"")</f>
        <v/>
      </c>
      <c r="L324" s="27">
        <f>IFERROR(HLOOKUP(Таблица5[[#Headers],[Код КазНИИСА]],'WV 4.0'!$A:$N,ROW('WV 4.0'!313:313),0),"")</f>
        <v>0</v>
      </c>
      <c r="M324" s="27" t="str">
        <f>IFERROR(HLOOKUP(Таблица5[[#Headers],[РРЦ в тнг]],'WV 4.0'!$A:$N,ROW('WV 4.0'!313:313),0),"")</f>
        <v/>
      </c>
      <c r="N324" s="27" t="str">
        <f>IFERROR(HLOOKUP(Таблица5[[#Headers],[Сумма РРЦ]],'WV 4.0'!$A:$N,ROW('WV 4.0'!313:313),0),"")</f>
        <v/>
      </c>
    </row>
    <row r="325" spans="1:14" x14ac:dyDescent="0.25">
      <c r="A325" s="29">
        <f>IFERROR('WV 4.0'!A314, " ")</f>
        <v>0</v>
      </c>
      <c r="B325" s="29">
        <f>IFERROR('WV 4.0'!B314, " ")</f>
        <v>0</v>
      </c>
      <c r="C325" s="29">
        <f>IFERROR('WV 4.0'!C314, " ")</f>
        <v>0</v>
      </c>
      <c r="D325" s="29">
        <f>IFERROR('WV 4.0'!D314, " ")</f>
        <v>0</v>
      </c>
      <c r="E325" s="29">
        <f>IFERROR('WV 4.0'!E314, " ")</f>
        <v>0</v>
      </c>
      <c r="F325" s="27">
        <f>IFERROR(ROUND(HLOOKUP(Таблица5[[#Headers],[Цена КП]],'WV 4.0'!$A:$N,ROW('WV 4.0'!314:314),0),0),"")</f>
        <v>0</v>
      </c>
      <c r="G325" s="27">
        <f>IFERROR(Таблица5[[#This Row],[Цена КП]]*Таблица5[[#This Row],[Кол-во]],"")</f>
        <v>0</v>
      </c>
      <c r="H325" s="42">
        <f>IFERROR(HLOOKUP(Таблица5[[#Headers],[Комментарии]],'WV 4.0'!$A:$N,ROW('WV 4.0'!314:314),0),"")</f>
        <v>0</v>
      </c>
      <c r="I325" s="42">
        <f>IFERROR(HLOOKUP(Таблица5[[#Headers],[Срок поставки]],'WV 4.0'!$A:$N,ROW('WV 4.0'!314:314),0),"")</f>
        <v>0</v>
      </c>
      <c r="J325" s="27" t="str">
        <f>IFERROR(HLOOKUP(Таблица5[[#Headers],[Цена КазНИИСА]],'WV 4.0'!$A:$N,ROW('WV 4.0'!314:314),0),"")</f>
        <v/>
      </c>
      <c r="K325" s="27" t="str">
        <f>IFERROR(HLOOKUP(Таблица5[[#Headers],[Сумма КазНИИСА]],'WV 4.0'!$A:$N,ROW('WV 4.0'!314:314),0),"")</f>
        <v/>
      </c>
      <c r="L325" s="27">
        <f>IFERROR(HLOOKUP(Таблица5[[#Headers],[Код КазНИИСА]],'WV 4.0'!$A:$N,ROW('WV 4.0'!314:314),0),"")</f>
        <v>0</v>
      </c>
      <c r="M325" s="27" t="str">
        <f>IFERROR(HLOOKUP(Таблица5[[#Headers],[РРЦ в тнг]],'WV 4.0'!$A:$N,ROW('WV 4.0'!314:314),0),"")</f>
        <v/>
      </c>
      <c r="N325" s="27" t="str">
        <f>IFERROR(HLOOKUP(Таблица5[[#Headers],[Сумма РРЦ]],'WV 4.0'!$A:$N,ROW('WV 4.0'!314:314),0),"")</f>
        <v/>
      </c>
    </row>
    <row r="326" spans="1:14" x14ac:dyDescent="0.25">
      <c r="A326" s="29">
        <f>IFERROR('WV 4.0'!A315, " ")</f>
        <v>0</v>
      </c>
      <c r="B326" s="29">
        <f>IFERROR('WV 4.0'!B315, " ")</f>
        <v>0</v>
      </c>
      <c r="C326" s="29">
        <f>IFERROR('WV 4.0'!C315, " ")</f>
        <v>0</v>
      </c>
      <c r="D326" s="29">
        <f>IFERROR('WV 4.0'!D315, " ")</f>
        <v>0</v>
      </c>
      <c r="E326" s="29">
        <f>IFERROR('WV 4.0'!E315, " ")</f>
        <v>0</v>
      </c>
      <c r="F326" s="27">
        <f>IFERROR(ROUND(HLOOKUP(Таблица5[[#Headers],[Цена КП]],'WV 4.0'!$A:$N,ROW('WV 4.0'!315:315),0),0),"")</f>
        <v>0</v>
      </c>
      <c r="G326" s="27">
        <f>IFERROR(Таблица5[[#This Row],[Цена КП]]*Таблица5[[#This Row],[Кол-во]],"")</f>
        <v>0</v>
      </c>
      <c r="H326" s="42">
        <f>IFERROR(HLOOKUP(Таблица5[[#Headers],[Комментарии]],'WV 4.0'!$A:$N,ROW('WV 4.0'!315:315),0),"")</f>
        <v>0</v>
      </c>
      <c r="I326" s="42">
        <f>IFERROR(HLOOKUP(Таблица5[[#Headers],[Срок поставки]],'WV 4.0'!$A:$N,ROW('WV 4.0'!315:315),0),"")</f>
        <v>0</v>
      </c>
      <c r="J326" s="27" t="str">
        <f>IFERROR(HLOOKUP(Таблица5[[#Headers],[Цена КазНИИСА]],'WV 4.0'!$A:$N,ROW('WV 4.0'!315:315),0),"")</f>
        <v/>
      </c>
      <c r="K326" s="27" t="str">
        <f>IFERROR(HLOOKUP(Таблица5[[#Headers],[Сумма КазНИИСА]],'WV 4.0'!$A:$N,ROW('WV 4.0'!315:315),0),"")</f>
        <v/>
      </c>
      <c r="L326" s="27">
        <f>IFERROR(HLOOKUP(Таблица5[[#Headers],[Код КазНИИСА]],'WV 4.0'!$A:$N,ROW('WV 4.0'!315:315),0),"")</f>
        <v>0</v>
      </c>
      <c r="M326" s="27" t="str">
        <f>IFERROR(HLOOKUP(Таблица5[[#Headers],[РРЦ в тнг]],'WV 4.0'!$A:$N,ROW('WV 4.0'!315:315),0),"")</f>
        <v/>
      </c>
      <c r="N326" s="27" t="str">
        <f>IFERROR(HLOOKUP(Таблица5[[#Headers],[Сумма РРЦ]],'WV 4.0'!$A:$N,ROW('WV 4.0'!315:315),0),"")</f>
        <v/>
      </c>
    </row>
    <row r="327" spans="1:14" x14ac:dyDescent="0.25">
      <c r="A327" s="29">
        <f>IFERROR('WV 4.0'!A316, " ")</f>
        <v>0</v>
      </c>
      <c r="B327" s="29">
        <f>IFERROR('WV 4.0'!B316, " ")</f>
        <v>0</v>
      </c>
      <c r="C327" s="29">
        <f>IFERROR('WV 4.0'!C316, " ")</f>
        <v>0</v>
      </c>
      <c r="D327" s="29">
        <f>IFERROR('WV 4.0'!D316, " ")</f>
        <v>0</v>
      </c>
      <c r="E327" s="29">
        <f>IFERROR('WV 4.0'!E316, " ")</f>
        <v>0</v>
      </c>
      <c r="F327" s="27">
        <f>IFERROR(ROUND(HLOOKUP(Таблица5[[#Headers],[Цена КП]],'WV 4.0'!$A:$N,ROW('WV 4.0'!316:316),0),0),"")</f>
        <v>0</v>
      </c>
      <c r="G327" s="27">
        <f>IFERROR(Таблица5[[#This Row],[Цена КП]]*Таблица5[[#This Row],[Кол-во]],"")</f>
        <v>0</v>
      </c>
      <c r="H327" s="42">
        <f>IFERROR(HLOOKUP(Таблица5[[#Headers],[Комментарии]],'WV 4.0'!$A:$N,ROW('WV 4.0'!316:316),0),"")</f>
        <v>0</v>
      </c>
      <c r="I327" s="42">
        <f>IFERROR(HLOOKUP(Таблица5[[#Headers],[Срок поставки]],'WV 4.0'!$A:$N,ROW('WV 4.0'!316:316),0),"")</f>
        <v>0</v>
      </c>
      <c r="J327" s="27" t="str">
        <f>IFERROR(HLOOKUP(Таблица5[[#Headers],[Цена КазНИИСА]],'WV 4.0'!$A:$N,ROW('WV 4.0'!316:316),0),"")</f>
        <v/>
      </c>
      <c r="K327" s="27" t="str">
        <f>IFERROR(HLOOKUP(Таблица5[[#Headers],[Сумма КазНИИСА]],'WV 4.0'!$A:$N,ROW('WV 4.0'!316:316),0),"")</f>
        <v/>
      </c>
      <c r="L327" s="27">
        <f>IFERROR(HLOOKUP(Таблица5[[#Headers],[Код КазНИИСА]],'WV 4.0'!$A:$N,ROW('WV 4.0'!316:316),0),"")</f>
        <v>0</v>
      </c>
      <c r="M327" s="27" t="str">
        <f>IFERROR(HLOOKUP(Таблица5[[#Headers],[РРЦ в тнг]],'WV 4.0'!$A:$N,ROW('WV 4.0'!316:316),0),"")</f>
        <v/>
      </c>
      <c r="N327" s="27" t="str">
        <f>IFERROR(HLOOKUP(Таблица5[[#Headers],[Сумма РРЦ]],'WV 4.0'!$A:$N,ROW('WV 4.0'!316:316),0),"")</f>
        <v/>
      </c>
    </row>
    <row r="328" spans="1:14" x14ac:dyDescent="0.25">
      <c r="A328" s="29">
        <f>IFERROR('WV 4.0'!A317, " ")</f>
        <v>0</v>
      </c>
      <c r="B328" s="29">
        <f>IFERROR('WV 4.0'!B317, " ")</f>
        <v>0</v>
      </c>
      <c r="C328" s="29">
        <f>IFERROR('WV 4.0'!C317, " ")</f>
        <v>0</v>
      </c>
      <c r="D328" s="29">
        <f>IFERROR('WV 4.0'!D317, " ")</f>
        <v>0</v>
      </c>
      <c r="E328" s="29">
        <f>IFERROR('WV 4.0'!E317, " ")</f>
        <v>0</v>
      </c>
      <c r="F328" s="27">
        <f>IFERROR(ROUND(HLOOKUP(Таблица5[[#Headers],[Цена КП]],'WV 4.0'!$A:$N,ROW('WV 4.0'!317:317),0),0),"")</f>
        <v>0</v>
      </c>
      <c r="G328" s="27">
        <f>IFERROR(Таблица5[[#This Row],[Цена КП]]*Таблица5[[#This Row],[Кол-во]],"")</f>
        <v>0</v>
      </c>
      <c r="H328" s="42">
        <f>IFERROR(HLOOKUP(Таблица5[[#Headers],[Комментарии]],'WV 4.0'!$A:$N,ROW('WV 4.0'!317:317),0),"")</f>
        <v>0</v>
      </c>
      <c r="I328" s="42">
        <f>IFERROR(HLOOKUP(Таблица5[[#Headers],[Срок поставки]],'WV 4.0'!$A:$N,ROW('WV 4.0'!317:317),0),"")</f>
        <v>0</v>
      </c>
      <c r="J328" s="27" t="str">
        <f>IFERROR(HLOOKUP(Таблица5[[#Headers],[Цена КазНИИСА]],'WV 4.0'!$A:$N,ROW('WV 4.0'!317:317),0),"")</f>
        <v/>
      </c>
      <c r="K328" s="27" t="str">
        <f>IFERROR(HLOOKUP(Таблица5[[#Headers],[Сумма КазНИИСА]],'WV 4.0'!$A:$N,ROW('WV 4.0'!317:317),0),"")</f>
        <v/>
      </c>
      <c r="L328" s="27">
        <f>IFERROR(HLOOKUP(Таблица5[[#Headers],[Код КазНИИСА]],'WV 4.0'!$A:$N,ROW('WV 4.0'!317:317),0),"")</f>
        <v>0</v>
      </c>
      <c r="M328" s="27" t="str">
        <f>IFERROR(HLOOKUP(Таблица5[[#Headers],[РРЦ в тнг]],'WV 4.0'!$A:$N,ROW('WV 4.0'!317:317),0),"")</f>
        <v/>
      </c>
      <c r="N328" s="27" t="str">
        <f>IFERROR(HLOOKUP(Таблица5[[#Headers],[Сумма РРЦ]],'WV 4.0'!$A:$N,ROW('WV 4.0'!317:317),0),"")</f>
        <v/>
      </c>
    </row>
    <row r="329" spans="1:14" x14ac:dyDescent="0.25">
      <c r="A329" s="29">
        <f>IFERROR('WV 4.0'!A318, " ")</f>
        <v>0</v>
      </c>
      <c r="B329" s="29">
        <f>IFERROR('WV 4.0'!B318, " ")</f>
        <v>0</v>
      </c>
      <c r="C329" s="29">
        <f>IFERROR('WV 4.0'!C318, " ")</f>
        <v>0</v>
      </c>
      <c r="D329" s="29">
        <f>IFERROR('WV 4.0'!D318, " ")</f>
        <v>0</v>
      </c>
      <c r="E329" s="29">
        <f>IFERROR('WV 4.0'!E318, " ")</f>
        <v>0</v>
      </c>
      <c r="F329" s="27">
        <f>IFERROR(ROUND(HLOOKUP(Таблица5[[#Headers],[Цена КП]],'WV 4.0'!$A:$N,ROW('WV 4.0'!318:318),0),0),"")</f>
        <v>0</v>
      </c>
      <c r="G329" s="27">
        <f>IFERROR(Таблица5[[#This Row],[Цена КП]]*Таблица5[[#This Row],[Кол-во]],"")</f>
        <v>0</v>
      </c>
      <c r="H329" s="42">
        <f>IFERROR(HLOOKUP(Таблица5[[#Headers],[Комментарии]],'WV 4.0'!$A:$N,ROW('WV 4.0'!318:318),0),"")</f>
        <v>0</v>
      </c>
      <c r="I329" s="42">
        <f>IFERROR(HLOOKUP(Таблица5[[#Headers],[Срок поставки]],'WV 4.0'!$A:$N,ROW('WV 4.0'!318:318),0),"")</f>
        <v>0</v>
      </c>
      <c r="J329" s="27" t="str">
        <f>IFERROR(HLOOKUP(Таблица5[[#Headers],[Цена КазНИИСА]],'WV 4.0'!$A:$N,ROW('WV 4.0'!318:318),0),"")</f>
        <v/>
      </c>
      <c r="K329" s="27" t="str">
        <f>IFERROR(HLOOKUP(Таблица5[[#Headers],[Сумма КазНИИСА]],'WV 4.0'!$A:$N,ROW('WV 4.0'!318:318),0),"")</f>
        <v/>
      </c>
      <c r="L329" s="27">
        <f>IFERROR(HLOOKUP(Таблица5[[#Headers],[Код КазНИИСА]],'WV 4.0'!$A:$N,ROW('WV 4.0'!318:318),0),"")</f>
        <v>0</v>
      </c>
      <c r="M329" s="27" t="str">
        <f>IFERROR(HLOOKUP(Таблица5[[#Headers],[РРЦ в тнг]],'WV 4.0'!$A:$N,ROW('WV 4.0'!318:318),0),"")</f>
        <v/>
      </c>
      <c r="N329" s="27" t="str">
        <f>IFERROR(HLOOKUP(Таблица5[[#Headers],[Сумма РРЦ]],'WV 4.0'!$A:$N,ROW('WV 4.0'!318:318),0),"")</f>
        <v/>
      </c>
    </row>
    <row r="330" spans="1:14" x14ac:dyDescent="0.25">
      <c r="A330" s="29">
        <f>IFERROR('WV 4.0'!A319, " ")</f>
        <v>0</v>
      </c>
      <c r="B330" s="29">
        <f>IFERROR('WV 4.0'!B319, " ")</f>
        <v>0</v>
      </c>
      <c r="C330" s="29">
        <f>IFERROR('WV 4.0'!C319, " ")</f>
        <v>0</v>
      </c>
      <c r="D330" s="29">
        <f>IFERROR('WV 4.0'!D319, " ")</f>
        <v>0</v>
      </c>
      <c r="E330" s="29">
        <f>IFERROR('WV 4.0'!E319, " ")</f>
        <v>0</v>
      </c>
      <c r="F330" s="27">
        <f>IFERROR(ROUND(HLOOKUP(Таблица5[[#Headers],[Цена КП]],'WV 4.0'!$A:$N,ROW('WV 4.0'!319:319),0),0),"")</f>
        <v>0</v>
      </c>
      <c r="G330" s="27">
        <f>IFERROR(Таблица5[[#This Row],[Цена КП]]*Таблица5[[#This Row],[Кол-во]],"")</f>
        <v>0</v>
      </c>
      <c r="H330" s="42">
        <f>IFERROR(HLOOKUP(Таблица5[[#Headers],[Комментарии]],'WV 4.0'!$A:$N,ROW('WV 4.0'!319:319),0),"")</f>
        <v>0</v>
      </c>
      <c r="I330" s="42">
        <f>IFERROR(HLOOKUP(Таблица5[[#Headers],[Срок поставки]],'WV 4.0'!$A:$N,ROW('WV 4.0'!319:319),0),"")</f>
        <v>0</v>
      </c>
      <c r="J330" s="27" t="str">
        <f>IFERROR(HLOOKUP(Таблица5[[#Headers],[Цена КазНИИСА]],'WV 4.0'!$A:$N,ROW('WV 4.0'!319:319),0),"")</f>
        <v/>
      </c>
      <c r="K330" s="27" t="str">
        <f>IFERROR(HLOOKUP(Таблица5[[#Headers],[Сумма КазНИИСА]],'WV 4.0'!$A:$N,ROW('WV 4.0'!319:319),0),"")</f>
        <v/>
      </c>
      <c r="L330" s="27">
        <f>IFERROR(HLOOKUP(Таблица5[[#Headers],[Код КазНИИСА]],'WV 4.0'!$A:$N,ROW('WV 4.0'!319:319),0),"")</f>
        <v>0</v>
      </c>
      <c r="M330" s="27" t="str">
        <f>IFERROR(HLOOKUP(Таблица5[[#Headers],[РРЦ в тнг]],'WV 4.0'!$A:$N,ROW('WV 4.0'!319:319),0),"")</f>
        <v/>
      </c>
      <c r="N330" s="27" t="str">
        <f>IFERROR(HLOOKUP(Таблица5[[#Headers],[Сумма РРЦ]],'WV 4.0'!$A:$N,ROW('WV 4.0'!319:319),0),"")</f>
        <v/>
      </c>
    </row>
    <row r="331" spans="1:14" x14ac:dyDescent="0.25">
      <c r="A331" s="29">
        <f>IFERROR('WV 4.0'!A320, " ")</f>
        <v>0</v>
      </c>
      <c r="B331" s="29">
        <f>IFERROR('WV 4.0'!B320, " ")</f>
        <v>0</v>
      </c>
      <c r="C331" s="29">
        <f>IFERROR('WV 4.0'!C320, " ")</f>
        <v>0</v>
      </c>
      <c r="D331" s="29">
        <f>IFERROR('WV 4.0'!D320, " ")</f>
        <v>0</v>
      </c>
      <c r="E331" s="29">
        <f>IFERROR('WV 4.0'!E320, " ")</f>
        <v>0</v>
      </c>
      <c r="F331" s="27">
        <f>IFERROR(ROUND(HLOOKUP(Таблица5[[#Headers],[Цена КП]],'WV 4.0'!$A:$N,ROW('WV 4.0'!320:320),0),0),"")</f>
        <v>0</v>
      </c>
      <c r="G331" s="27">
        <f>IFERROR(Таблица5[[#This Row],[Цена КП]]*Таблица5[[#This Row],[Кол-во]],"")</f>
        <v>0</v>
      </c>
      <c r="H331" s="42">
        <f>IFERROR(HLOOKUP(Таблица5[[#Headers],[Комментарии]],'WV 4.0'!$A:$N,ROW('WV 4.0'!320:320),0),"")</f>
        <v>0</v>
      </c>
      <c r="I331" s="42">
        <f>IFERROR(HLOOKUP(Таблица5[[#Headers],[Срок поставки]],'WV 4.0'!$A:$N,ROW('WV 4.0'!320:320),0),"")</f>
        <v>0</v>
      </c>
      <c r="J331" s="27" t="str">
        <f>IFERROR(HLOOKUP(Таблица5[[#Headers],[Цена КазНИИСА]],'WV 4.0'!$A:$N,ROW('WV 4.0'!320:320),0),"")</f>
        <v/>
      </c>
      <c r="K331" s="27" t="str">
        <f>IFERROR(HLOOKUP(Таблица5[[#Headers],[Сумма КазНИИСА]],'WV 4.0'!$A:$N,ROW('WV 4.0'!320:320),0),"")</f>
        <v/>
      </c>
      <c r="L331" s="27">
        <f>IFERROR(HLOOKUP(Таблица5[[#Headers],[Код КазНИИСА]],'WV 4.0'!$A:$N,ROW('WV 4.0'!320:320),0),"")</f>
        <v>0</v>
      </c>
      <c r="M331" s="27" t="str">
        <f>IFERROR(HLOOKUP(Таблица5[[#Headers],[РРЦ в тнг]],'WV 4.0'!$A:$N,ROW('WV 4.0'!320:320),0),"")</f>
        <v/>
      </c>
      <c r="N331" s="27" t="str">
        <f>IFERROR(HLOOKUP(Таблица5[[#Headers],[Сумма РРЦ]],'WV 4.0'!$A:$N,ROW('WV 4.0'!320:320),0),"")</f>
        <v/>
      </c>
    </row>
    <row r="332" spans="1:14" x14ac:dyDescent="0.25">
      <c r="A332" s="29">
        <f>IFERROR('WV 4.0'!A321, " ")</f>
        <v>0</v>
      </c>
      <c r="B332" s="29">
        <f>IFERROR('WV 4.0'!B321, " ")</f>
        <v>0</v>
      </c>
      <c r="C332" s="29">
        <f>IFERROR('WV 4.0'!C321, " ")</f>
        <v>0</v>
      </c>
      <c r="D332" s="29">
        <f>IFERROR('WV 4.0'!D321, " ")</f>
        <v>0</v>
      </c>
      <c r="E332" s="29">
        <f>IFERROR('WV 4.0'!E321, " ")</f>
        <v>0</v>
      </c>
      <c r="F332" s="27">
        <f>IFERROR(ROUND(HLOOKUP(Таблица5[[#Headers],[Цена КП]],'WV 4.0'!$A:$N,ROW('WV 4.0'!321:321),0),0),"")</f>
        <v>0</v>
      </c>
      <c r="G332" s="27">
        <f>IFERROR(Таблица5[[#This Row],[Цена КП]]*Таблица5[[#This Row],[Кол-во]],"")</f>
        <v>0</v>
      </c>
      <c r="H332" s="42">
        <f>IFERROR(HLOOKUP(Таблица5[[#Headers],[Комментарии]],'WV 4.0'!$A:$N,ROW('WV 4.0'!321:321),0),"")</f>
        <v>0</v>
      </c>
      <c r="I332" s="42">
        <f>IFERROR(HLOOKUP(Таблица5[[#Headers],[Срок поставки]],'WV 4.0'!$A:$N,ROW('WV 4.0'!321:321),0),"")</f>
        <v>0</v>
      </c>
      <c r="J332" s="27" t="str">
        <f>IFERROR(HLOOKUP(Таблица5[[#Headers],[Цена КазНИИСА]],'WV 4.0'!$A:$N,ROW('WV 4.0'!321:321),0),"")</f>
        <v/>
      </c>
      <c r="K332" s="27" t="str">
        <f>IFERROR(HLOOKUP(Таблица5[[#Headers],[Сумма КазНИИСА]],'WV 4.0'!$A:$N,ROW('WV 4.0'!321:321),0),"")</f>
        <v/>
      </c>
      <c r="L332" s="27">
        <f>IFERROR(HLOOKUP(Таблица5[[#Headers],[Код КазНИИСА]],'WV 4.0'!$A:$N,ROW('WV 4.0'!321:321),0),"")</f>
        <v>0</v>
      </c>
      <c r="M332" s="27" t="str">
        <f>IFERROR(HLOOKUP(Таблица5[[#Headers],[РРЦ в тнг]],'WV 4.0'!$A:$N,ROW('WV 4.0'!321:321),0),"")</f>
        <v/>
      </c>
      <c r="N332" s="27" t="str">
        <f>IFERROR(HLOOKUP(Таблица5[[#Headers],[Сумма РРЦ]],'WV 4.0'!$A:$N,ROW('WV 4.0'!321:321),0),"")</f>
        <v/>
      </c>
    </row>
    <row r="333" spans="1:14" x14ac:dyDescent="0.25">
      <c r="A333" s="29">
        <f>IFERROR('WV 4.0'!A322, " ")</f>
        <v>0</v>
      </c>
      <c r="B333" s="29">
        <f>IFERROR('WV 4.0'!B322, " ")</f>
        <v>0</v>
      </c>
      <c r="C333" s="29">
        <f>IFERROR('WV 4.0'!C322, " ")</f>
        <v>0</v>
      </c>
      <c r="D333" s="29">
        <f>IFERROR('WV 4.0'!D322, " ")</f>
        <v>0</v>
      </c>
      <c r="E333" s="29">
        <f>IFERROR('WV 4.0'!E322, " ")</f>
        <v>0</v>
      </c>
      <c r="F333" s="27">
        <f>IFERROR(ROUND(HLOOKUP(Таблица5[[#Headers],[Цена КП]],'WV 4.0'!$A:$N,ROW('WV 4.0'!322:322),0),0),"")</f>
        <v>0</v>
      </c>
      <c r="G333" s="27">
        <f>IFERROR(Таблица5[[#This Row],[Цена КП]]*Таблица5[[#This Row],[Кол-во]],"")</f>
        <v>0</v>
      </c>
      <c r="H333" s="42">
        <f>IFERROR(HLOOKUP(Таблица5[[#Headers],[Комментарии]],'WV 4.0'!$A:$N,ROW('WV 4.0'!322:322),0),"")</f>
        <v>0</v>
      </c>
      <c r="I333" s="42">
        <f>IFERROR(HLOOKUP(Таблица5[[#Headers],[Срок поставки]],'WV 4.0'!$A:$N,ROW('WV 4.0'!322:322),0),"")</f>
        <v>0</v>
      </c>
      <c r="J333" s="27" t="str">
        <f>IFERROR(HLOOKUP(Таблица5[[#Headers],[Цена КазНИИСА]],'WV 4.0'!$A:$N,ROW('WV 4.0'!322:322),0),"")</f>
        <v/>
      </c>
      <c r="K333" s="27" t="str">
        <f>IFERROR(HLOOKUP(Таблица5[[#Headers],[Сумма КазНИИСА]],'WV 4.0'!$A:$N,ROW('WV 4.0'!322:322),0),"")</f>
        <v/>
      </c>
      <c r="L333" s="27">
        <f>IFERROR(HLOOKUP(Таблица5[[#Headers],[Код КазНИИСА]],'WV 4.0'!$A:$N,ROW('WV 4.0'!322:322),0),"")</f>
        <v>0</v>
      </c>
      <c r="M333" s="27" t="str">
        <f>IFERROR(HLOOKUP(Таблица5[[#Headers],[РРЦ в тнг]],'WV 4.0'!$A:$N,ROW('WV 4.0'!322:322),0),"")</f>
        <v/>
      </c>
      <c r="N333" s="27" t="str">
        <f>IFERROR(HLOOKUP(Таблица5[[#Headers],[Сумма РРЦ]],'WV 4.0'!$A:$N,ROW('WV 4.0'!322:322),0),"")</f>
        <v/>
      </c>
    </row>
    <row r="334" spans="1:14" x14ac:dyDescent="0.25">
      <c r="A334" s="29">
        <f>IFERROR('WV 4.0'!A323, " ")</f>
        <v>0</v>
      </c>
      <c r="B334" s="29">
        <f>IFERROR('WV 4.0'!B323, " ")</f>
        <v>0</v>
      </c>
      <c r="C334" s="29">
        <f>IFERROR('WV 4.0'!C323, " ")</f>
        <v>0</v>
      </c>
      <c r="D334" s="29">
        <f>IFERROR('WV 4.0'!D323, " ")</f>
        <v>0</v>
      </c>
      <c r="E334" s="29">
        <f>IFERROR('WV 4.0'!E323, " ")</f>
        <v>0</v>
      </c>
      <c r="F334" s="27">
        <f>IFERROR(ROUND(HLOOKUP(Таблица5[[#Headers],[Цена КП]],'WV 4.0'!$A:$N,ROW('WV 4.0'!323:323),0),0),"")</f>
        <v>0</v>
      </c>
      <c r="G334" s="27">
        <f>IFERROR(Таблица5[[#This Row],[Цена КП]]*Таблица5[[#This Row],[Кол-во]],"")</f>
        <v>0</v>
      </c>
      <c r="H334" s="42">
        <f>IFERROR(HLOOKUP(Таблица5[[#Headers],[Комментарии]],'WV 4.0'!$A:$N,ROW('WV 4.0'!323:323),0),"")</f>
        <v>0</v>
      </c>
      <c r="I334" s="42">
        <f>IFERROR(HLOOKUP(Таблица5[[#Headers],[Срок поставки]],'WV 4.0'!$A:$N,ROW('WV 4.0'!323:323),0),"")</f>
        <v>0</v>
      </c>
      <c r="J334" s="27" t="str">
        <f>IFERROR(HLOOKUP(Таблица5[[#Headers],[Цена КазНИИСА]],'WV 4.0'!$A:$N,ROW('WV 4.0'!323:323),0),"")</f>
        <v/>
      </c>
      <c r="K334" s="27" t="str">
        <f>IFERROR(HLOOKUP(Таблица5[[#Headers],[Сумма КазНИИСА]],'WV 4.0'!$A:$N,ROW('WV 4.0'!323:323),0),"")</f>
        <v/>
      </c>
      <c r="L334" s="27">
        <f>IFERROR(HLOOKUP(Таблица5[[#Headers],[Код КазНИИСА]],'WV 4.0'!$A:$N,ROW('WV 4.0'!323:323),0),"")</f>
        <v>0</v>
      </c>
      <c r="M334" s="27" t="str">
        <f>IFERROR(HLOOKUP(Таблица5[[#Headers],[РРЦ в тнг]],'WV 4.0'!$A:$N,ROW('WV 4.0'!323:323),0),"")</f>
        <v/>
      </c>
      <c r="N334" s="27" t="str">
        <f>IFERROR(HLOOKUP(Таблица5[[#Headers],[Сумма РРЦ]],'WV 4.0'!$A:$N,ROW('WV 4.0'!323:323),0),"")</f>
        <v/>
      </c>
    </row>
    <row r="335" spans="1:14" x14ac:dyDescent="0.25">
      <c r="A335" s="29">
        <f>IFERROR('WV 4.0'!A324, " ")</f>
        <v>0</v>
      </c>
      <c r="B335" s="29">
        <f>IFERROR('WV 4.0'!B324, " ")</f>
        <v>0</v>
      </c>
      <c r="C335" s="29">
        <f>IFERROR('WV 4.0'!C324, " ")</f>
        <v>0</v>
      </c>
      <c r="D335" s="29">
        <f>IFERROR('WV 4.0'!D324, " ")</f>
        <v>0</v>
      </c>
      <c r="E335" s="29">
        <f>IFERROR('WV 4.0'!E324, " ")</f>
        <v>0</v>
      </c>
      <c r="F335" s="27">
        <f>IFERROR(ROUND(HLOOKUP(Таблица5[[#Headers],[Цена КП]],'WV 4.0'!$A:$N,ROW('WV 4.0'!324:324),0),0),"")</f>
        <v>0</v>
      </c>
      <c r="G335" s="27">
        <f>IFERROR(Таблица5[[#This Row],[Цена КП]]*Таблица5[[#This Row],[Кол-во]],"")</f>
        <v>0</v>
      </c>
      <c r="H335" s="42">
        <f>IFERROR(HLOOKUP(Таблица5[[#Headers],[Комментарии]],'WV 4.0'!$A:$N,ROW('WV 4.0'!324:324),0),"")</f>
        <v>0</v>
      </c>
      <c r="I335" s="42">
        <f>IFERROR(HLOOKUP(Таблица5[[#Headers],[Срок поставки]],'WV 4.0'!$A:$N,ROW('WV 4.0'!324:324),0),"")</f>
        <v>0</v>
      </c>
      <c r="J335" s="27" t="str">
        <f>IFERROR(HLOOKUP(Таблица5[[#Headers],[Цена КазНИИСА]],'WV 4.0'!$A:$N,ROW('WV 4.0'!324:324),0),"")</f>
        <v/>
      </c>
      <c r="K335" s="27" t="str">
        <f>IFERROR(HLOOKUP(Таблица5[[#Headers],[Сумма КазНИИСА]],'WV 4.0'!$A:$N,ROW('WV 4.0'!324:324),0),"")</f>
        <v/>
      </c>
      <c r="L335" s="27">
        <f>IFERROR(HLOOKUP(Таблица5[[#Headers],[Код КазНИИСА]],'WV 4.0'!$A:$N,ROW('WV 4.0'!324:324),0),"")</f>
        <v>0</v>
      </c>
      <c r="M335" s="27" t="str">
        <f>IFERROR(HLOOKUP(Таблица5[[#Headers],[РРЦ в тнг]],'WV 4.0'!$A:$N,ROW('WV 4.0'!324:324),0),"")</f>
        <v/>
      </c>
      <c r="N335" s="27" t="str">
        <f>IFERROR(HLOOKUP(Таблица5[[#Headers],[Сумма РРЦ]],'WV 4.0'!$A:$N,ROW('WV 4.0'!324:324),0),"")</f>
        <v/>
      </c>
    </row>
    <row r="336" spans="1:14" x14ac:dyDescent="0.25">
      <c r="A336" s="29">
        <f>IFERROR('WV 4.0'!A325, " ")</f>
        <v>0</v>
      </c>
      <c r="B336" s="29">
        <f>IFERROR('WV 4.0'!B325, " ")</f>
        <v>0</v>
      </c>
      <c r="C336" s="29">
        <f>IFERROR('WV 4.0'!C325, " ")</f>
        <v>0</v>
      </c>
      <c r="D336" s="29">
        <f>IFERROR('WV 4.0'!D325, " ")</f>
        <v>0</v>
      </c>
      <c r="E336" s="29">
        <f>IFERROR('WV 4.0'!E325, " ")</f>
        <v>0</v>
      </c>
      <c r="F336" s="27">
        <f>IFERROR(ROUND(HLOOKUP(Таблица5[[#Headers],[Цена КП]],'WV 4.0'!$A:$N,ROW('WV 4.0'!325:325),0),0),"")</f>
        <v>0</v>
      </c>
      <c r="G336" s="27">
        <f>IFERROR(Таблица5[[#This Row],[Цена КП]]*Таблица5[[#This Row],[Кол-во]],"")</f>
        <v>0</v>
      </c>
      <c r="H336" s="42">
        <f>IFERROR(HLOOKUP(Таблица5[[#Headers],[Комментарии]],'WV 4.0'!$A:$N,ROW('WV 4.0'!325:325),0),"")</f>
        <v>0</v>
      </c>
      <c r="I336" s="42">
        <f>IFERROR(HLOOKUP(Таблица5[[#Headers],[Срок поставки]],'WV 4.0'!$A:$N,ROW('WV 4.0'!325:325),0),"")</f>
        <v>0</v>
      </c>
      <c r="J336" s="27" t="str">
        <f>IFERROR(HLOOKUP(Таблица5[[#Headers],[Цена КазНИИСА]],'WV 4.0'!$A:$N,ROW('WV 4.0'!325:325),0),"")</f>
        <v/>
      </c>
      <c r="K336" s="27" t="str">
        <f>IFERROR(HLOOKUP(Таблица5[[#Headers],[Сумма КазНИИСА]],'WV 4.0'!$A:$N,ROW('WV 4.0'!325:325),0),"")</f>
        <v/>
      </c>
      <c r="L336" s="27">
        <f>IFERROR(HLOOKUP(Таблица5[[#Headers],[Код КазНИИСА]],'WV 4.0'!$A:$N,ROW('WV 4.0'!325:325),0),"")</f>
        <v>0</v>
      </c>
      <c r="M336" s="27" t="str">
        <f>IFERROR(HLOOKUP(Таблица5[[#Headers],[РРЦ в тнг]],'WV 4.0'!$A:$N,ROW('WV 4.0'!325:325),0),"")</f>
        <v/>
      </c>
      <c r="N336" s="27" t="str">
        <f>IFERROR(HLOOKUP(Таблица5[[#Headers],[Сумма РРЦ]],'WV 4.0'!$A:$N,ROW('WV 4.0'!325:325),0),"")</f>
        <v/>
      </c>
    </row>
    <row r="337" spans="1:14" x14ac:dyDescent="0.25">
      <c r="A337" s="29">
        <f>IFERROR('WV 4.0'!A326, " ")</f>
        <v>0</v>
      </c>
      <c r="B337" s="29">
        <f>IFERROR('WV 4.0'!B326, " ")</f>
        <v>0</v>
      </c>
      <c r="C337" s="29">
        <f>IFERROR('WV 4.0'!C326, " ")</f>
        <v>0</v>
      </c>
      <c r="D337" s="29">
        <f>IFERROR('WV 4.0'!D326, " ")</f>
        <v>0</v>
      </c>
      <c r="E337" s="29">
        <f>IFERROR('WV 4.0'!E326, " ")</f>
        <v>0</v>
      </c>
      <c r="F337" s="27">
        <f>IFERROR(ROUND(HLOOKUP(Таблица5[[#Headers],[Цена КП]],'WV 4.0'!$A:$N,ROW('WV 4.0'!326:326),0),0),"")</f>
        <v>0</v>
      </c>
      <c r="G337" s="27">
        <f>IFERROR(Таблица5[[#This Row],[Цена КП]]*Таблица5[[#This Row],[Кол-во]],"")</f>
        <v>0</v>
      </c>
      <c r="H337" s="42">
        <f>IFERROR(HLOOKUP(Таблица5[[#Headers],[Комментарии]],'WV 4.0'!$A:$N,ROW('WV 4.0'!326:326),0),"")</f>
        <v>0</v>
      </c>
      <c r="I337" s="42">
        <f>IFERROR(HLOOKUP(Таблица5[[#Headers],[Срок поставки]],'WV 4.0'!$A:$N,ROW('WV 4.0'!326:326),0),"")</f>
        <v>0</v>
      </c>
      <c r="J337" s="27" t="str">
        <f>IFERROR(HLOOKUP(Таблица5[[#Headers],[Цена КазНИИСА]],'WV 4.0'!$A:$N,ROW('WV 4.0'!326:326),0),"")</f>
        <v/>
      </c>
      <c r="K337" s="27" t="str">
        <f>IFERROR(HLOOKUP(Таблица5[[#Headers],[Сумма КазНИИСА]],'WV 4.0'!$A:$N,ROW('WV 4.0'!326:326),0),"")</f>
        <v/>
      </c>
      <c r="L337" s="27">
        <f>IFERROR(HLOOKUP(Таблица5[[#Headers],[Код КазНИИСА]],'WV 4.0'!$A:$N,ROW('WV 4.0'!326:326),0),"")</f>
        <v>0</v>
      </c>
      <c r="M337" s="27" t="str">
        <f>IFERROR(HLOOKUP(Таблица5[[#Headers],[РРЦ в тнг]],'WV 4.0'!$A:$N,ROW('WV 4.0'!326:326),0),"")</f>
        <v/>
      </c>
      <c r="N337" s="27" t="str">
        <f>IFERROR(HLOOKUP(Таблица5[[#Headers],[Сумма РРЦ]],'WV 4.0'!$A:$N,ROW('WV 4.0'!326:326),0),"")</f>
        <v/>
      </c>
    </row>
    <row r="338" spans="1:14" x14ac:dyDescent="0.25">
      <c r="A338" s="29">
        <f>IFERROR('WV 4.0'!A327, " ")</f>
        <v>0</v>
      </c>
      <c r="B338" s="29">
        <f>IFERROR('WV 4.0'!B327, " ")</f>
        <v>0</v>
      </c>
      <c r="C338" s="29">
        <f>IFERROR('WV 4.0'!C327, " ")</f>
        <v>0</v>
      </c>
      <c r="D338" s="29">
        <f>IFERROR('WV 4.0'!D327, " ")</f>
        <v>0</v>
      </c>
      <c r="E338" s="29">
        <f>IFERROR('WV 4.0'!E327, " ")</f>
        <v>0</v>
      </c>
      <c r="F338" s="27">
        <f>IFERROR(ROUND(HLOOKUP(Таблица5[[#Headers],[Цена КП]],'WV 4.0'!$A:$N,ROW('WV 4.0'!327:327),0),0),"")</f>
        <v>0</v>
      </c>
      <c r="G338" s="27">
        <f>IFERROR(Таблица5[[#This Row],[Цена КП]]*Таблица5[[#This Row],[Кол-во]],"")</f>
        <v>0</v>
      </c>
      <c r="H338" s="42">
        <f>IFERROR(HLOOKUP(Таблица5[[#Headers],[Комментарии]],'WV 4.0'!$A:$N,ROW('WV 4.0'!327:327),0),"")</f>
        <v>0</v>
      </c>
      <c r="I338" s="42">
        <f>IFERROR(HLOOKUP(Таблица5[[#Headers],[Срок поставки]],'WV 4.0'!$A:$N,ROW('WV 4.0'!327:327),0),"")</f>
        <v>0</v>
      </c>
      <c r="J338" s="27" t="str">
        <f>IFERROR(HLOOKUP(Таблица5[[#Headers],[Цена КазНИИСА]],'WV 4.0'!$A:$N,ROW('WV 4.0'!327:327),0),"")</f>
        <v/>
      </c>
      <c r="K338" s="27" t="str">
        <f>IFERROR(HLOOKUP(Таблица5[[#Headers],[Сумма КазНИИСА]],'WV 4.0'!$A:$N,ROW('WV 4.0'!327:327),0),"")</f>
        <v/>
      </c>
      <c r="L338" s="27">
        <f>IFERROR(HLOOKUP(Таблица5[[#Headers],[Код КазНИИСА]],'WV 4.0'!$A:$N,ROW('WV 4.0'!327:327),0),"")</f>
        <v>0</v>
      </c>
      <c r="M338" s="27" t="str">
        <f>IFERROR(HLOOKUP(Таблица5[[#Headers],[РРЦ в тнг]],'WV 4.0'!$A:$N,ROW('WV 4.0'!327:327),0),"")</f>
        <v/>
      </c>
      <c r="N338" s="27" t="str">
        <f>IFERROR(HLOOKUP(Таблица5[[#Headers],[Сумма РРЦ]],'WV 4.0'!$A:$N,ROW('WV 4.0'!327:327),0),"")</f>
        <v/>
      </c>
    </row>
    <row r="339" spans="1:14" x14ac:dyDescent="0.25">
      <c r="A339" s="29">
        <f>IFERROR('WV 4.0'!A328, " ")</f>
        <v>0</v>
      </c>
      <c r="B339" s="29">
        <f>IFERROR('WV 4.0'!B328, " ")</f>
        <v>0</v>
      </c>
      <c r="C339" s="29">
        <f>IFERROR('WV 4.0'!C328, " ")</f>
        <v>0</v>
      </c>
      <c r="D339" s="29">
        <f>IFERROR('WV 4.0'!D328, " ")</f>
        <v>0</v>
      </c>
      <c r="E339" s="29">
        <f>IFERROR('WV 4.0'!E328, " ")</f>
        <v>0</v>
      </c>
      <c r="F339" s="27">
        <f>IFERROR(ROUND(HLOOKUP(Таблица5[[#Headers],[Цена КП]],'WV 4.0'!$A:$N,ROW('WV 4.0'!328:328),0),0),"")</f>
        <v>0</v>
      </c>
      <c r="G339" s="27">
        <f>IFERROR(Таблица5[[#This Row],[Цена КП]]*Таблица5[[#This Row],[Кол-во]],"")</f>
        <v>0</v>
      </c>
      <c r="H339" s="42">
        <f>IFERROR(HLOOKUP(Таблица5[[#Headers],[Комментарии]],'WV 4.0'!$A:$N,ROW('WV 4.0'!328:328),0),"")</f>
        <v>0</v>
      </c>
      <c r="I339" s="42">
        <f>IFERROR(HLOOKUP(Таблица5[[#Headers],[Срок поставки]],'WV 4.0'!$A:$N,ROW('WV 4.0'!328:328),0),"")</f>
        <v>0</v>
      </c>
      <c r="J339" s="27" t="str">
        <f>IFERROR(HLOOKUP(Таблица5[[#Headers],[Цена КазНИИСА]],'WV 4.0'!$A:$N,ROW('WV 4.0'!328:328),0),"")</f>
        <v/>
      </c>
      <c r="K339" s="27" t="str">
        <f>IFERROR(HLOOKUP(Таблица5[[#Headers],[Сумма КазНИИСА]],'WV 4.0'!$A:$N,ROW('WV 4.0'!328:328),0),"")</f>
        <v/>
      </c>
      <c r="L339" s="27">
        <f>IFERROR(HLOOKUP(Таблица5[[#Headers],[Код КазНИИСА]],'WV 4.0'!$A:$N,ROW('WV 4.0'!328:328),0),"")</f>
        <v>0</v>
      </c>
      <c r="M339" s="27" t="str">
        <f>IFERROR(HLOOKUP(Таблица5[[#Headers],[РРЦ в тнг]],'WV 4.0'!$A:$N,ROW('WV 4.0'!328:328),0),"")</f>
        <v/>
      </c>
      <c r="N339" s="27" t="str">
        <f>IFERROR(HLOOKUP(Таблица5[[#Headers],[Сумма РРЦ]],'WV 4.0'!$A:$N,ROW('WV 4.0'!328:328),0),"")</f>
        <v/>
      </c>
    </row>
    <row r="340" spans="1:14" x14ac:dyDescent="0.25">
      <c r="A340" s="29">
        <f>IFERROR('WV 4.0'!A329, " ")</f>
        <v>0</v>
      </c>
      <c r="B340" s="29">
        <f>IFERROR('WV 4.0'!B329, " ")</f>
        <v>0</v>
      </c>
      <c r="C340" s="29">
        <f>IFERROR('WV 4.0'!C329, " ")</f>
        <v>0</v>
      </c>
      <c r="D340" s="29">
        <f>IFERROR('WV 4.0'!D329, " ")</f>
        <v>0</v>
      </c>
      <c r="E340" s="29">
        <f>IFERROR('WV 4.0'!E329, " ")</f>
        <v>0</v>
      </c>
      <c r="F340" s="27">
        <f>IFERROR(ROUND(HLOOKUP(Таблица5[[#Headers],[Цена КП]],'WV 4.0'!$A:$N,ROW('WV 4.0'!329:329),0),0),"")</f>
        <v>0</v>
      </c>
      <c r="G340" s="27">
        <f>IFERROR(Таблица5[[#This Row],[Цена КП]]*Таблица5[[#This Row],[Кол-во]],"")</f>
        <v>0</v>
      </c>
      <c r="H340" s="42">
        <f>IFERROR(HLOOKUP(Таблица5[[#Headers],[Комментарии]],'WV 4.0'!$A:$N,ROW('WV 4.0'!329:329),0),"")</f>
        <v>0</v>
      </c>
      <c r="I340" s="42">
        <f>IFERROR(HLOOKUP(Таблица5[[#Headers],[Срок поставки]],'WV 4.0'!$A:$N,ROW('WV 4.0'!329:329),0),"")</f>
        <v>0</v>
      </c>
      <c r="J340" s="27" t="str">
        <f>IFERROR(HLOOKUP(Таблица5[[#Headers],[Цена КазНИИСА]],'WV 4.0'!$A:$N,ROW('WV 4.0'!329:329),0),"")</f>
        <v/>
      </c>
      <c r="K340" s="27" t="str">
        <f>IFERROR(HLOOKUP(Таблица5[[#Headers],[Сумма КазНИИСА]],'WV 4.0'!$A:$N,ROW('WV 4.0'!329:329),0),"")</f>
        <v/>
      </c>
      <c r="L340" s="27">
        <f>IFERROR(HLOOKUP(Таблица5[[#Headers],[Код КазНИИСА]],'WV 4.0'!$A:$N,ROW('WV 4.0'!329:329),0),"")</f>
        <v>0</v>
      </c>
      <c r="M340" s="27" t="str">
        <f>IFERROR(HLOOKUP(Таблица5[[#Headers],[РРЦ в тнг]],'WV 4.0'!$A:$N,ROW('WV 4.0'!329:329),0),"")</f>
        <v/>
      </c>
      <c r="N340" s="27" t="str">
        <f>IFERROR(HLOOKUP(Таблица5[[#Headers],[Сумма РРЦ]],'WV 4.0'!$A:$N,ROW('WV 4.0'!329:329),0),"")</f>
        <v/>
      </c>
    </row>
    <row r="341" spans="1:14" x14ac:dyDescent="0.25">
      <c r="A341" s="29">
        <f>IFERROR('WV 4.0'!A330, " ")</f>
        <v>0</v>
      </c>
      <c r="B341" s="29">
        <f>IFERROR('WV 4.0'!B330, " ")</f>
        <v>0</v>
      </c>
      <c r="C341" s="29">
        <f>IFERROR('WV 4.0'!C330, " ")</f>
        <v>0</v>
      </c>
      <c r="D341" s="29">
        <f>IFERROR('WV 4.0'!D330, " ")</f>
        <v>0</v>
      </c>
      <c r="E341" s="29">
        <f>IFERROR('WV 4.0'!E330, " ")</f>
        <v>0</v>
      </c>
      <c r="F341" s="27">
        <f>IFERROR(ROUND(HLOOKUP(Таблица5[[#Headers],[Цена КП]],'WV 4.0'!$A:$N,ROW('WV 4.0'!330:330),0),0),"")</f>
        <v>0</v>
      </c>
      <c r="G341" s="27">
        <f>IFERROR(Таблица5[[#This Row],[Цена КП]]*Таблица5[[#This Row],[Кол-во]],"")</f>
        <v>0</v>
      </c>
      <c r="H341" s="42">
        <f>IFERROR(HLOOKUP(Таблица5[[#Headers],[Комментарии]],'WV 4.0'!$A:$N,ROW('WV 4.0'!330:330),0),"")</f>
        <v>0</v>
      </c>
      <c r="I341" s="42">
        <f>IFERROR(HLOOKUP(Таблица5[[#Headers],[Срок поставки]],'WV 4.0'!$A:$N,ROW('WV 4.0'!330:330),0),"")</f>
        <v>0</v>
      </c>
      <c r="J341" s="27" t="str">
        <f>IFERROR(HLOOKUP(Таблица5[[#Headers],[Цена КазНИИСА]],'WV 4.0'!$A:$N,ROW('WV 4.0'!330:330),0),"")</f>
        <v/>
      </c>
      <c r="K341" s="27" t="str">
        <f>IFERROR(HLOOKUP(Таблица5[[#Headers],[Сумма КазНИИСА]],'WV 4.0'!$A:$N,ROW('WV 4.0'!330:330),0),"")</f>
        <v/>
      </c>
      <c r="L341" s="27">
        <f>IFERROR(HLOOKUP(Таблица5[[#Headers],[Код КазНИИСА]],'WV 4.0'!$A:$N,ROW('WV 4.0'!330:330),0),"")</f>
        <v>0</v>
      </c>
      <c r="M341" s="27" t="str">
        <f>IFERROR(HLOOKUP(Таблица5[[#Headers],[РРЦ в тнг]],'WV 4.0'!$A:$N,ROW('WV 4.0'!330:330),0),"")</f>
        <v/>
      </c>
      <c r="N341" s="27" t="str">
        <f>IFERROR(HLOOKUP(Таблица5[[#Headers],[Сумма РРЦ]],'WV 4.0'!$A:$N,ROW('WV 4.0'!330:330),0),"")</f>
        <v/>
      </c>
    </row>
    <row r="342" spans="1:14" x14ac:dyDescent="0.25">
      <c r="A342" s="29">
        <f>IFERROR('WV 4.0'!A331, " ")</f>
        <v>0</v>
      </c>
      <c r="B342" s="29">
        <f>IFERROR('WV 4.0'!B331, " ")</f>
        <v>0</v>
      </c>
      <c r="C342" s="29">
        <f>IFERROR('WV 4.0'!C331, " ")</f>
        <v>0</v>
      </c>
      <c r="D342" s="29">
        <f>IFERROR('WV 4.0'!D331, " ")</f>
        <v>0</v>
      </c>
      <c r="E342" s="29">
        <f>IFERROR('WV 4.0'!E331, " ")</f>
        <v>0</v>
      </c>
      <c r="F342" s="27">
        <f>IFERROR(ROUND(HLOOKUP(Таблица5[[#Headers],[Цена КП]],'WV 4.0'!$A:$N,ROW('WV 4.0'!331:331),0),0),"")</f>
        <v>0</v>
      </c>
      <c r="G342" s="27">
        <f>IFERROR(Таблица5[[#This Row],[Цена КП]]*Таблица5[[#This Row],[Кол-во]],"")</f>
        <v>0</v>
      </c>
      <c r="H342" s="42">
        <f>IFERROR(HLOOKUP(Таблица5[[#Headers],[Комментарии]],'WV 4.0'!$A:$N,ROW('WV 4.0'!331:331),0),"")</f>
        <v>0</v>
      </c>
      <c r="I342" s="42">
        <f>IFERROR(HLOOKUP(Таблица5[[#Headers],[Срок поставки]],'WV 4.0'!$A:$N,ROW('WV 4.0'!331:331),0),"")</f>
        <v>0</v>
      </c>
      <c r="J342" s="27" t="str">
        <f>IFERROR(HLOOKUP(Таблица5[[#Headers],[Цена КазНИИСА]],'WV 4.0'!$A:$N,ROW('WV 4.0'!331:331),0),"")</f>
        <v/>
      </c>
      <c r="K342" s="27" t="str">
        <f>IFERROR(HLOOKUP(Таблица5[[#Headers],[Сумма КазНИИСА]],'WV 4.0'!$A:$N,ROW('WV 4.0'!331:331),0),"")</f>
        <v/>
      </c>
      <c r="L342" s="27">
        <f>IFERROR(HLOOKUP(Таблица5[[#Headers],[Код КазНИИСА]],'WV 4.0'!$A:$N,ROW('WV 4.0'!331:331),0),"")</f>
        <v>0</v>
      </c>
      <c r="M342" s="27" t="str">
        <f>IFERROR(HLOOKUP(Таблица5[[#Headers],[РРЦ в тнг]],'WV 4.0'!$A:$N,ROW('WV 4.0'!331:331),0),"")</f>
        <v/>
      </c>
      <c r="N342" s="27" t="str">
        <f>IFERROR(HLOOKUP(Таблица5[[#Headers],[Сумма РРЦ]],'WV 4.0'!$A:$N,ROW('WV 4.0'!331:331),0),"")</f>
        <v/>
      </c>
    </row>
    <row r="343" spans="1:14" x14ac:dyDescent="0.25">
      <c r="A343" s="29">
        <f>IFERROR('WV 4.0'!A332, " ")</f>
        <v>0</v>
      </c>
      <c r="B343" s="29">
        <f>IFERROR('WV 4.0'!B332, " ")</f>
        <v>0</v>
      </c>
      <c r="C343" s="29">
        <f>IFERROR('WV 4.0'!C332, " ")</f>
        <v>0</v>
      </c>
      <c r="D343" s="29">
        <f>IFERROR('WV 4.0'!D332, " ")</f>
        <v>0</v>
      </c>
      <c r="E343" s="29">
        <f>IFERROR('WV 4.0'!E332, " ")</f>
        <v>0</v>
      </c>
      <c r="F343" s="27">
        <f>IFERROR(ROUND(HLOOKUP(Таблица5[[#Headers],[Цена КП]],'WV 4.0'!$A:$N,ROW('WV 4.0'!332:332),0),0),"")</f>
        <v>0</v>
      </c>
      <c r="G343" s="27">
        <f>IFERROR(Таблица5[[#This Row],[Цена КП]]*Таблица5[[#This Row],[Кол-во]],"")</f>
        <v>0</v>
      </c>
      <c r="H343" s="42">
        <f>IFERROR(HLOOKUP(Таблица5[[#Headers],[Комментарии]],'WV 4.0'!$A:$N,ROW('WV 4.0'!332:332),0),"")</f>
        <v>0</v>
      </c>
      <c r="I343" s="42">
        <f>IFERROR(HLOOKUP(Таблица5[[#Headers],[Срок поставки]],'WV 4.0'!$A:$N,ROW('WV 4.0'!332:332),0),"")</f>
        <v>0</v>
      </c>
      <c r="J343" s="27" t="str">
        <f>IFERROR(HLOOKUP(Таблица5[[#Headers],[Цена КазНИИСА]],'WV 4.0'!$A:$N,ROW('WV 4.0'!332:332),0),"")</f>
        <v/>
      </c>
      <c r="K343" s="27" t="str">
        <f>IFERROR(HLOOKUP(Таблица5[[#Headers],[Сумма КазНИИСА]],'WV 4.0'!$A:$N,ROW('WV 4.0'!332:332),0),"")</f>
        <v/>
      </c>
      <c r="L343" s="27">
        <f>IFERROR(HLOOKUP(Таблица5[[#Headers],[Код КазНИИСА]],'WV 4.0'!$A:$N,ROW('WV 4.0'!332:332),0),"")</f>
        <v>0</v>
      </c>
      <c r="M343" s="27" t="str">
        <f>IFERROR(HLOOKUP(Таблица5[[#Headers],[РРЦ в тнг]],'WV 4.0'!$A:$N,ROW('WV 4.0'!332:332),0),"")</f>
        <v/>
      </c>
      <c r="N343" s="27" t="str">
        <f>IFERROR(HLOOKUP(Таблица5[[#Headers],[Сумма РРЦ]],'WV 4.0'!$A:$N,ROW('WV 4.0'!332:332),0),"")</f>
        <v/>
      </c>
    </row>
    <row r="344" spans="1:14" x14ac:dyDescent="0.25">
      <c r="A344" s="29">
        <f>IFERROR('WV 4.0'!A333, " ")</f>
        <v>0</v>
      </c>
      <c r="B344" s="29">
        <f>IFERROR('WV 4.0'!B333, " ")</f>
        <v>0</v>
      </c>
      <c r="C344" s="29">
        <f>IFERROR('WV 4.0'!C333, " ")</f>
        <v>0</v>
      </c>
      <c r="D344" s="29">
        <f>IFERROR('WV 4.0'!D333, " ")</f>
        <v>0</v>
      </c>
      <c r="E344" s="29">
        <f>IFERROR('WV 4.0'!E333, " ")</f>
        <v>0</v>
      </c>
      <c r="F344" s="27">
        <f>IFERROR(ROUND(HLOOKUP(Таблица5[[#Headers],[Цена КП]],'WV 4.0'!$A:$N,ROW('WV 4.0'!333:333),0),0),"")</f>
        <v>0</v>
      </c>
      <c r="G344" s="27">
        <f>IFERROR(Таблица5[[#This Row],[Цена КП]]*Таблица5[[#This Row],[Кол-во]],"")</f>
        <v>0</v>
      </c>
      <c r="H344" s="42">
        <f>IFERROR(HLOOKUP(Таблица5[[#Headers],[Комментарии]],'WV 4.0'!$A:$N,ROW('WV 4.0'!333:333),0),"")</f>
        <v>0</v>
      </c>
      <c r="I344" s="42">
        <f>IFERROR(HLOOKUP(Таблица5[[#Headers],[Срок поставки]],'WV 4.0'!$A:$N,ROW('WV 4.0'!333:333),0),"")</f>
        <v>0</v>
      </c>
      <c r="J344" s="27" t="str">
        <f>IFERROR(HLOOKUP(Таблица5[[#Headers],[Цена КазНИИСА]],'WV 4.0'!$A:$N,ROW('WV 4.0'!333:333),0),"")</f>
        <v/>
      </c>
      <c r="K344" s="27" t="str">
        <f>IFERROR(HLOOKUP(Таблица5[[#Headers],[Сумма КазНИИСА]],'WV 4.0'!$A:$N,ROW('WV 4.0'!333:333),0),"")</f>
        <v/>
      </c>
      <c r="L344" s="27">
        <f>IFERROR(HLOOKUP(Таблица5[[#Headers],[Код КазНИИСА]],'WV 4.0'!$A:$N,ROW('WV 4.0'!333:333),0),"")</f>
        <v>0</v>
      </c>
      <c r="M344" s="27" t="str">
        <f>IFERROR(HLOOKUP(Таблица5[[#Headers],[РРЦ в тнг]],'WV 4.0'!$A:$N,ROW('WV 4.0'!333:333),0),"")</f>
        <v/>
      </c>
      <c r="N344" s="27" t="str">
        <f>IFERROR(HLOOKUP(Таблица5[[#Headers],[Сумма РРЦ]],'WV 4.0'!$A:$N,ROW('WV 4.0'!333:333),0),"")</f>
        <v/>
      </c>
    </row>
    <row r="345" spans="1:14" x14ac:dyDescent="0.25">
      <c r="A345" s="29">
        <f>IFERROR('WV 4.0'!A334, " ")</f>
        <v>0</v>
      </c>
      <c r="B345" s="29">
        <f>IFERROR('WV 4.0'!B334, " ")</f>
        <v>0</v>
      </c>
      <c r="C345" s="29">
        <f>IFERROR('WV 4.0'!C334, " ")</f>
        <v>0</v>
      </c>
      <c r="D345" s="29">
        <f>IFERROR('WV 4.0'!D334, " ")</f>
        <v>0</v>
      </c>
      <c r="E345" s="29">
        <f>IFERROR('WV 4.0'!E334, " ")</f>
        <v>0</v>
      </c>
      <c r="F345" s="27">
        <f>IFERROR(ROUND(HLOOKUP(Таблица5[[#Headers],[Цена КП]],'WV 4.0'!$A:$N,ROW('WV 4.0'!334:334),0),0),"")</f>
        <v>0</v>
      </c>
      <c r="G345" s="27">
        <f>IFERROR(Таблица5[[#This Row],[Цена КП]]*Таблица5[[#This Row],[Кол-во]],"")</f>
        <v>0</v>
      </c>
      <c r="H345" s="42">
        <f>IFERROR(HLOOKUP(Таблица5[[#Headers],[Комментарии]],'WV 4.0'!$A:$N,ROW('WV 4.0'!334:334),0),"")</f>
        <v>0</v>
      </c>
      <c r="I345" s="42">
        <f>IFERROR(HLOOKUP(Таблица5[[#Headers],[Срок поставки]],'WV 4.0'!$A:$N,ROW('WV 4.0'!334:334),0),"")</f>
        <v>0</v>
      </c>
      <c r="J345" s="27" t="str">
        <f>IFERROR(HLOOKUP(Таблица5[[#Headers],[Цена КазНИИСА]],'WV 4.0'!$A:$N,ROW('WV 4.0'!334:334),0),"")</f>
        <v/>
      </c>
      <c r="K345" s="27" t="str">
        <f>IFERROR(HLOOKUP(Таблица5[[#Headers],[Сумма КазНИИСА]],'WV 4.0'!$A:$N,ROW('WV 4.0'!334:334),0),"")</f>
        <v/>
      </c>
      <c r="L345" s="27">
        <f>IFERROR(HLOOKUP(Таблица5[[#Headers],[Код КазНИИСА]],'WV 4.0'!$A:$N,ROW('WV 4.0'!334:334),0),"")</f>
        <v>0</v>
      </c>
      <c r="M345" s="27" t="str">
        <f>IFERROR(HLOOKUP(Таблица5[[#Headers],[РРЦ в тнг]],'WV 4.0'!$A:$N,ROW('WV 4.0'!334:334),0),"")</f>
        <v/>
      </c>
      <c r="N345" s="27" t="str">
        <f>IFERROR(HLOOKUP(Таблица5[[#Headers],[Сумма РРЦ]],'WV 4.0'!$A:$N,ROW('WV 4.0'!334:334),0),"")</f>
        <v/>
      </c>
    </row>
    <row r="346" spans="1:14" x14ac:dyDescent="0.25">
      <c r="A346" s="29">
        <f>IFERROR('WV 4.0'!A335, " ")</f>
        <v>0</v>
      </c>
      <c r="B346" s="29">
        <f>IFERROR('WV 4.0'!B335, " ")</f>
        <v>0</v>
      </c>
      <c r="C346" s="29">
        <f>IFERROR('WV 4.0'!C335, " ")</f>
        <v>0</v>
      </c>
      <c r="D346" s="29">
        <f>IFERROR('WV 4.0'!D335, " ")</f>
        <v>0</v>
      </c>
      <c r="E346" s="29">
        <f>IFERROR('WV 4.0'!E335, " ")</f>
        <v>0</v>
      </c>
      <c r="F346" s="27">
        <f>IFERROR(ROUND(HLOOKUP(Таблица5[[#Headers],[Цена КП]],'WV 4.0'!$A:$N,ROW('WV 4.0'!335:335),0),0),"")</f>
        <v>0</v>
      </c>
      <c r="G346" s="27">
        <f>IFERROR(Таблица5[[#This Row],[Цена КП]]*Таблица5[[#This Row],[Кол-во]],"")</f>
        <v>0</v>
      </c>
      <c r="H346" s="42">
        <f>IFERROR(HLOOKUP(Таблица5[[#Headers],[Комментарии]],'WV 4.0'!$A:$N,ROW('WV 4.0'!335:335),0),"")</f>
        <v>0</v>
      </c>
      <c r="I346" s="42">
        <f>IFERROR(HLOOKUP(Таблица5[[#Headers],[Срок поставки]],'WV 4.0'!$A:$N,ROW('WV 4.0'!335:335),0),"")</f>
        <v>0</v>
      </c>
      <c r="J346" s="27" t="str">
        <f>IFERROR(HLOOKUP(Таблица5[[#Headers],[Цена КазНИИСА]],'WV 4.0'!$A:$N,ROW('WV 4.0'!335:335),0),"")</f>
        <v/>
      </c>
      <c r="K346" s="27" t="str">
        <f>IFERROR(HLOOKUP(Таблица5[[#Headers],[Сумма КазНИИСА]],'WV 4.0'!$A:$N,ROW('WV 4.0'!335:335),0),"")</f>
        <v/>
      </c>
      <c r="L346" s="27">
        <f>IFERROR(HLOOKUP(Таблица5[[#Headers],[Код КазНИИСА]],'WV 4.0'!$A:$N,ROW('WV 4.0'!335:335),0),"")</f>
        <v>0</v>
      </c>
      <c r="M346" s="27" t="str">
        <f>IFERROR(HLOOKUP(Таблица5[[#Headers],[РРЦ в тнг]],'WV 4.0'!$A:$N,ROW('WV 4.0'!335:335),0),"")</f>
        <v/>
      </c>
      <c r="N346" s="27" t="str">
        <f>IFERROR(HLOOKUP(Таблица5[[#Headers],[Сумма РРЦ]],'WV 4.0'!$A:$N,ROW('WV 4.0'!335:335),0),"")</f>
        <v/>
      </c>
    </row>
    <row r="347" spans="1:14" x14ac:dyDescent="0.25">
      <c r="A347" s="29">
        <f>IFERROR('WV 4.0'!A336, " ")</f>
        <v>0</v>
      </c>
      <c r="B347" s="29">
        <f>IFERROR('WV 4.0'!B336, " ")</f>
        <v>0</v>
      </c>
      <c r="C347" s="29">
        <f>IFERROR('WV 4.0'!C336, " ")</f>
        <v>0</v>
      </c>
      <c r="D347" s="29">
        <f>IFERROR('WV 4.0'!D336, " ")</f>
        <v>0</v>
      </c>
      <c r="E347" s="29">
        <f>IFERROR('WV 4.0'!E336, " ")</f>
        <v>0</v>
      </c>
      <c r="F347" s="27">
        <f>IFERROR(ROUND(HLOOKUP(Таблица5[[#Headers],[Цена КП]],'WV 4.0'!$A:$N,ROW('WV 4.0'!336:336),0),0),"")</f>
        <v>0</v>
      </c>
      <c r="G347" s="27">
        <f>IFERROR(Таблица5[[#This Row],[Цена КП]]*Таблица5[[#This Row],[Кол-во]],"")</f>
        <v>0</v>
      </c>
      <c r="H347" s="42">
        <f>IFERROR(HLOOKUP(Таблица5[[#Headers],[Комментарии]],'WV 4.0'!$A:$N,ROW('WV 4.0'!336:336),0),"")</f>
        <v>0</v>
      </c>
      <c r="I347" s="42">
        <f>IFERROR(HLOOKUP(Таблица5[[#Headers],[Срок поставки]],'WV 4.0'!$A:$N,ROW('WV 4.0'!336:336),0),"")</f>
        <v>0</v>
      </c>
      <c r="J347" s="27" t="str">
        <f>IFERROR(HLOOKUP(Таблица5[[#Headers],[Цена КазНИИСА]],'WV 4.0'!$A:$N,ROW('WV 4.0'!336:336),0),"")</f>
        <v/>
      </c>
      <c r="K347" s="27" t="str">
        <f>IFERROR(HLOOKUP(Таблица5[[#Headers],[Сумма КазНИИСА]],'WV 4.0'!$A:$N,ROW('WV 4.0'!336:336),0),"")</f>
        <v/>
      </c>
      <c r="L347" s="27">
        <f>IFERROR(HLOOKUP(Таблица5[[#Headers],[Код КазНИИСА]],'WV 4.0'!$A:$N,ROW('WV 4.0'!336:336),0),"")</f>
        <v>0</v>
      </c>
      <c r="M347" s="27" t="str">
        <f>IFERROR(HLOOKUP(Таблица5[[#Headers],[РРЦ в тнг]],'WV 4.0'!$A:$N,ROW('WV 4.0'!336:336),0),"")</f>
        <v/>
      </c>
      <c r="N347" s="27" t="str">
        <f>IFERROR(HLOOKUP(Таблица5[[#Headers],[Сумма РРЦ]],'WV 4.0'!$A:$N,ROW('WV 4.0'!336:336),0),"")</f>
        <v/>
      </c>
    </row>
    <row r="348" spans="1:14" x14ac:dyDescent="0.25">
      <c r="A348" s="29">
        <f>IFERROR('WV 4.0'!A337, " ")</f>
        <v>0</v>
      </c>
      <c r="B348" s="29">
        <f>IFERROR('WV 4.0'!B337, " ")</f>
        <v>0</v>
      </c>
      <c r="C348" s="29">
        <f>IFERROR('WV 4.0'!C337, " ")</f>
        <v>0</v>
      </c>
      <c r="D348" s="29">
        <f>IFERROR('WV 4.0'!D337, " ")</f>
        <v>0</v>
      </c>
      <c r="E348" s="29">
        <f>IFERROR('WV 4.0'!E337, " ")</f>
        <v>0</v>
      </c>
      <c r="F348" s="27">
        <f>IFERROR(ROUND(HLOOKUP(Таблица5[[#Headers],[Цена КП]],'WV 4.0'!$A:$N,ROW('WV 4.0'!337:337),0),0),"")</f>
        <v>0</v>
      </c>
      <c r="G348" s="27">
        <f>IFERROR(Таблица5[[#This Row],[Цена КП]]*Таблица5[[#This Row],[Кол-во]],"")</f>
        <v>0</v>
      </c>
      <c r="H348" s="42">
        <f>IFERROR(HLOOKUP(Таблица5[[#Headers],[Комментарии]],'WV 4.0'!$A:$N,ROW('WV 4.0'!337:337),0),"")</f>
        <v>0</v>
      </c>
      <c r="I348" s="42">
        <f>IFERROR(HLOOKUP(Таблица5[[#Headers],[Срок поставки]],'WV 4.0'!$A:$N,ROW('WV 4.0'!337:337),0),"")</f>
        <v>0</v>
      </c>
      <c r="J348" s="27" t="str">
        <f>IFERROR(HLOOKUP(Таблица5[[#Headers],[Цена КазНИИСА]],'WV 4.0'!$A:$N,ROW('WV 4.0'!337:337),0),"")</f>
        <v/>
      </c>
      <c r="K348" s="27" t="str">
        <f>IFERROR(HLOOKUP(Таблица5[[#Headers],[Сумма КазНИИСА]],'WV 4.0'!$A:$N,ROW('WV 4.0'!337:337),0),"")</f>
        <v/>
      </c>
      <c r="L348" s="27">
        <f>IFERROR(HLOOKUP(Таблица5[[#Headers],[Код КазНИИСА]],'WV 4.0'!$A:$N,ROW('WV 4.0'!337:337),0),"")</f>
        <v>0</v>
      </c>
      <c r="M348" s="27" t="str">
        <f>IFERROR(HLOOKUP(Таблица5[[#Headers],[РРЦ в тнг]],'WV 4.0'!$A:$N,ROW('WV 4.0'!337:337),0),"")</f>
        <v/>
      </c>
      <c r="N348" s="27" t="str">
        <f>IFERROR(HLOOKUP(Таблица5[[#Headers],[Сумма РРЦ]],'WV 4.0'!$A:$N,ROW('WV 4.0'!337:337),0),"")</f>
        <v/>
      </c>
    </row>
    <row r="349" spans="1:14" x14ac:dyDescent="0.25">
      <c r="A349" s="29">
        <f>IFERROR('WV 4.0'!A338, " ")</f>
        <v>0</v>
      </c>
      <c r="B349" s="29">
        <f>IFERROR('WV 4.0'!B338, " ")</f>
        <v>0</v>
      </c>
      <c r="C349" s="29">
        <f>IFERROR('WV 4.0'!C338, " ")</f>
        <v>0</v>
      </c>
      <c r="D349" s="29">
        <f>IFERROR('WV 4.0'!D338, " ")</f>
        <v>0</v>
      </c>
      <c r="E349" s="29">
        <f>IFERROR('WV 4.0'!E338, " ")</f>
        <v>0</v>
      </c>
      <c r="F349" s="27">
        <f>IFERROR(ROUND(HLOOKUP(Таблица5[[#Headers],[Цена КП]],'WV 4.0'!$A:$N,ROW('WV 4.0'!338:338),0),0),"")</f>
        <v>0</v>
      </c>
      <c r="G349" s="27">
        <f>IFERROR(Таблица5[[#This Row],[Цена КП]]*Таблица5[[#This Row],[Кол-во]],"")</f>
        <v>0</v>
      </c>
      <c r="H349" s="42">
        <f>IFERROR(HLOOKUP(Таблица5[[#Headers],[Комментарии]],'WV 4.0'!$A:$N,ROW('WV 4.0'!338:338),0),"")</f>
        <v>0</v>
      </c>
      <c r="I349" s="42">
        <f>IFERROR(HLOOKUP(Таблица5[[#Headers],[Срок поставки]],'WV 4.0'!$A:$N,ROW('WV 4.0'!338:338),0),"")</f>
        <v>0</v>
      </c>
      <c r="J349" s="27" t="str">
        <f>IFERROR(HLOOKUP(Таблица5[[#Headers],[Цена КазНИИСА]],'WV 4.0'!$A:$N,ROW('WV 4.0'!338:338),0),"")</f>
        <v/>
      </c>
      <c r="K349" s="27" t="str">
        <f>IFERROR(HLOOKUP(Таблица5[[#Headers],[Сумма КазНИИСА]],'WV 4.0'!$A:$N,ROW('WV 4.0'!338:338),0),"")</f>
        <v/>
      </c>
      <c r="L349" s="27">
        <f>IFERROR(HLOOKUP(Таблица5[[#Headers],[Код КазНИИСА]],'WV 4.0'!$A:$N,ROW('WV 4.0'!338:338),0),"")</f>
        <v>0</v>
      </c>
      <c r="M349" s="27" t="str">
        <f>IFERROR(HLOOKUP(Таблица5[[#Headers],[РРЦ в тнг]],'WV 4.0'!$A:$N,ROW('WV 4.0'!338:338),0),"")</f>
        <v/>
      </c>
      <c r="N349" s="27" t="str">
        <f>IFERROR(HLOOKUP(Таблица5[[#Headers],[Сумма РРЦ]],'WV 4.0'!$A:$N,ROW('WV 4.0'!338:338),0),"")</f>
        <v/>
      </c>
    </row>
    <row r="350" spans="1:14" x14ac:dyDescent="0.25">
      <c r="A350" s="29">
        <f>IFERROR('WV 4.0'!A339, " ")</f>
        <v>0</v>
      </c>
      <c r="B350" s="29">
        <f>IFERROR('WV 4.0'!B339, " ")</f>
        <v>0</v>
      </c>
      <c r="C350" s="29">
        <f>IFERROR('WV 4.0'!C339, " ")</f>
        <v>0</v>
      </c>
      <c r="D350" s="29">
        <f>IFERROR('WV 4.0'!D339, " ")</f>
        <v>0</v>
      </c>
      <c r="E350" s="29">
        <f>IFERROR('WV 4.0'!E339, " ")</f>
        <v>0</v>
      </c>
      <c r="F350" s="27">
        <f>IFERROR(ROUND(HLOOKUP(Таблица5[[#Headers],[Цена КП]],'WV 4.0'!$A:$N,ROW('WV 4.0'!339:339),0),0),"")</f>
        <v>0</v>
      </c>
      <c r="G350" s="27">
        <f>IFERROR(Таблица5[[#This Row],[Цена КП]]*Таблица5[[#This Row],[Кол-во]],"")</f>
        <v>0</v>
      </c>
      <c r="H350" s="42">
        <f>IFERROR(HLOOKUP(Таблица5[[#Headers],[Комментарии]],'WV 4.0'!$A:$N,ROW('WV 4.0'!339:339),0),"")</f>
        <v>0</v>
      </c>
      <c r="I350" s="42">
        <f>IFERROR(HLOOKUP(Таблица5[[#Headers],[Срок поставки]],'WV 4.0'!$A:$N,ROW('WV 4.0'!339:339),0),"")</f>
        <v>0</v>
      </c>
      <c r="J350" s="27" t="str">
        <f>IFERROR(HLOOKUP(Таблица5[[#Headers],[Цена КазНИИСА]],'WV 4.0'!$A:$N,ROW('WV 4.0'!339:339),0),"")</f>
        <v/>
      </c>
      <c r="K350" s="27" t="str">
        <f>IFERROR(HLOOKUP(Таблица5[[#Headers],[Сумма КазНИИСА]],'WV 4.0'!$A:$N,ROW('WV 4.0'!339:339),0),"")</f>
        <v/>
      </c>
      <c r="L350" s="27">
        <f>IFERROR(HLOOKUP(Таблица5[[#Headers],[Код КазНИИСА]],'WV 4.0'!$A:$N,ROW('WV 4.0'!339:339),0),"")</f>
        <v>0</v>
      </c>
      <c r="M350" s="27" t="str">
        <f>IFERROR(HLOOKUP(Таблица5[[#Headers],[РРЦ в тнг]],'WV 4.0'!$A:$N,ROW('WV 4.0'!339:339),0),"")</f>
        <v/>
      </c>
      <c r="N350" s="27" t="str">
        <f>IFERROR(HLOOKUP(Таблица5[[#Headers],[Сумма РРЦ]],'WV 4.0'!$A:$N,ROW('WV 4.0'!339:339),0),"")</f>
        <v/>
      </c>
    </row>
    <row r="351" spans="1:14" x14ac:dyDescent="0.25">
      <c r="A351" s="29">
        <f>IFERROR('WV 4.0'!A340, " ")</f>
        <v>0</v>
      </c>
      <c r="B351" s="29">
        <f>IFERROR('WV 4.0'!B340, " ")</f>
        <v>0</v>
      </c>
      <c r="C351" s="29">
        <f>IFERROR('WV 4.0'!C340, " ")</f>
        <v>0</v>
      </c>
      <c r="D351" s="29">
        <f>IFERROR('WV 4.0'!D340, " ")</f>
        <v>0</v>
      </c>
      <c r="E351" s="29">
        <f>IFERROR('WV 4.0'!E340, " ")</f>
        <v>0</v>
      </c>
      <c r="F351" s="27">
        <f>IFERROR(ROUND(HLOOKUP(Таблица5[[#Headers],[Цена КП]],'WV 4.0'!$A:$N,ROW('WV 4.0'!340:340),0),0),"")</f>
        <v>0</v>
      </c>
      <c r="G351" s="27">
        <f>IFERROR(Таблица5[[#This Row],[Цена КП]]*Таблица5[[#This Row],[Кол-во]],"")</f>
        <v>0</v>
      </c>
      <c r="H351" s="42">
        <f>IFERROR(HLOOKUP(Таблица5[[#Headers],[Комментарии]],'WV 4.0'!$A:$N,ROW('WV 4.0'!340:340),0),"")</f>
        <v>0</v>
      </c>
      <c r="I351" s="42">
        <f>IFERROR(HLOOKUP(Таблица5[[#Headers],[Срок поставки]],'WV 4.0'!$A:$N,ROW('WV 4.0'!340:340),0),"")</f>
        <v>0</v>
      </c>
      <c r="J351" s="27" t="str">
        <f>IFERROR(HLOOKUP(Таблица5[[#Headers],[Цена КазНИИСА]],'WV 4.0'!$A:$N,ROW('WV 4.0'!340:340),0),"")</f>
        <v/>
      </c>
      <c r="K351" s="27" t="str">
        <f>IFERROR(HLOOKUP(Таблица5[[#Headers],[Сумма КазНИИСА]],'WV 4.0'!$A:$N,ROW('WV 4.0'!340:340),0),"")</f>
        <v/>
      </c>
      <c r="L351" s="27">
        <f>IFERROR(HLOOKUP(Таблица5[[#Headers],[Код КазНИИСА]],'WV 4.0'!$A:$N,ROW('WV 4.0'!340:340),0),"")</f>
        <v>0</v>
      </c>
      <c r="M351" s="27" t="str">
        <f>IFERROR(HLOOKUP(Таблица5[[#Headers],[РРЦ в тнг]],'WV 4.0'!$A:$N,ROW('WV 4.0'!340:340),0),"")</f>
        <v/>
      </c>
      <c r="N351" s="27" t="str">
        <f>IFERROR(HLOOKUP(Таблица5[[#Headers],[Сумма РРЦ]],'WV 4.0'!$A:$N,ROW('WV 4.0'!340:340),0),"")</f>
        <v/>
      </c>
    </row>
    <row r="352" spans="1:14" x14ac:dyDescent="0.25">
      <c r="A352" s="29">
        <f>IFERROR('WV 4.0'!A341, " ")</f>
        <v>0</v>
      </c>
      <c r="B352" s="29">
        <f>IFERROR('WV 4.0'!B341, " ")</f>
        <v>0</v>
      </c>
      <c r="C352" s="29">
        <f>IFERROR('WV 4.0'!C341, " ")</f>
        <v>0</v>
      </c>
      <c r="D352" s="29">
        <f>IFERROR('WV 4.0'!D341, " ")</f>
        <v>0</v>
      </c>
      <c r="E352" s="29">
        <f>IFERROR('WV 4.0'!E341, " ")</f>
        <v>0</v>
      </c>
      <c r="F352" s="27">
        <f>IFERROR(ROUND(HLOOKUP(Таблица5[[#Headers],[Цена КП]],'WV 4.0'!$A:$N,ROW('WV 4.0'!341:341),0),0),"")</f>
        <v>0</v>
      </c>
      <c r="G352" s="27">
        <f>IFERROR(Таблица5[[#This Row],[Цена КП]]*Таблица5[[#This Row],[Кол-во]],"")</f>
        <v>0</v>
      </c>
      <c r="H352" s="42">
        <f>IFERROR(HLOOKUP(Таблица5[[#Headers],[Комментарии]],'WV 4.0'!$A:$N,ROW('WV 4.0'!341:341),0),"")</f>
        <v>0</v>
      </c>
      <c r="I352" s="42">
        <f>IFERROR(HLOOKUP(Таблица5[[#Headers],[Срок поставки]],'WV 4.0'!$A:$N,ROW('WV 4.0'!341:341),0),"")</f>
        <v>0</v>
      </c>
      <c r="J352" s="27" t="str">
        <f>IFERROR(HLOOKUP(Таблица5[[#Headers],[Цена КазНИИСА]],'WV 4.0'!$A:$N,ROW('WV 4.0'!341:341),0),"")</f>
        <v/>
      </c>
      <c r="K352" s="27" t="str">
        <f>IFERROR(HLOOKUP(Таблица5[[#Headers],[Сумма КазНИИСА]],'WV 4.0'!$A:$N,ROW('WV 4.0'!341:341),0),"")</f>
        <v/>
      </c>
      <c r="L352" s="27">
        <f>IFERROR(HLOOKUP(Таблица5[[#Headers],[Код КазНИИСА]],'WV 4.0'!$A:$N,ROW('WV 4.0'!341:341),0),"")</f>
        <v>0</v>
      </c>
      <c r="M352" s="27" t="str">
        <f>IFERROR(HLOOKUP(Таблица5[[#Headers],[РРЦ в тнг]],'WV 4.0'!$A:$N,ROW('WV 4.0'!341:341),0),"")</f>
        <v/>
      </c>
      <c r="N352" s="27" t="str">
        <f>IFERROR(HLOOKUP(Таблица5[[#Headers],[Сумма РРЦ]],'WV 4.0'!$A:$N,ROW('WV 4.0'!341:341),0),"")</f>
        <v/>
      </c>
    </row>
    <row r="353" spans="1:14" x14ac:dyDescent="0.25">
      <c r="A353" s="29">
        <f>IFERROR('WV 4.0'!A342, " ")</f>
        <v>0</v>
      </c>
      <c r="B353" s="29">
        <f>IFERROR('WV 4.0'!B342, " ")</f>
        <v>0</v>
      </c>
      <c r="C353" s="29">
        <f>IFERROR('WV 4.0'!C342, " ")</f>
        <v>0</v>
      </c>
      <c r="D353" s="29">
        <f>IFERROR('WV 4.0'!D342, " ")</f>
        <v>0</v>
      </c>
      <c r="E353" s="29">
        <f>IFERROR('WV 4.0'!E342, " ")</f>
        <v>0</v>
      </c>
      <c r="F353" s="27">
        <f>IFERROR(ROUND(HLOOKUP(Таблица5[[#Headers],[Цена КП]],'WV 4.0'!$A:$N,ROW('WV 4.0'!342:342),0),0),"")</f>
        <v>0</v>
      </c>
      <c r="G353" s="27">
        <f>IFERROR(Таблица5[[#This Row],[Цена КП]]*Таблица5[[#This Row],[Кол-во]],"")</f>
        <v>0</v>
      </c>
      <c r="H353" s="42">
        <f>IFERROR(HLOOKUP(Таблица5[[#Headers],[Комментарии]],'WV 4.0'!$A:$N,ROW('WV 4.0'!342:342),0),"")</f>
        <v>0</v>
      </c>
      <c r="I353" s="42">
        <f>IFERROR(HLOOKUP(Таблица5[[#Headers],[Срок поставки]],'WV 4.0'!$A:$N,ROW('WV 4.0'!342:342),0),"")</f>
        <v>0</v>
      </c>
      <c r="J353" s="27" t="str">
        <f>IFERROR(HLOOKUP(Таблица5[[#Headers],[Цена КазНИИСА]],'WV 4.0'!$A:$N,ROW('WV 4.0'!342:342),0),"")</f>
        <v/>
      </c>
      <c r="K353" s="27" t="str">
        <f>IFERROR(HLOOKUP(Таблица5[[#Headers],[Сумма КазНИИСА]],'WV 4.0'!$A:$N,ROW('WV 4.0'!342:342),0),"")</f>
        <v/>
      </c>
      <c r="L353" s="27">
        <f>IFERROR(HLOOKUP(Таблица5[[#Headers],[Код КазНИИСА]],'WV 4.0'!$A:$N,ROW('WV 4.0'!342:342),0),"")</f>
        <v>0</v>
      </c>
      <c r="M353" s="27" t="str">
        <f>IFERROR(HLOOKUP(Таблица5[[#Headers],[РРЦ в тнг]],'WV 4.0'!$A:$N,ROW('WV 4.0'!342:342),0),"")</f>
        <v/>
      </c>
      <c r="N353" s="27" t="str">
        <f>IFERROR(HLOOKUP(Таблица5[[#Headers],[Сумма РРЦ]],'WV 4.0'!$A:$N,ROW('WV 4.0'!342:342),0),"")</f>
        <v/>
      </c>
    </row>
    <row r="354" spans="1:14" x14ac:dyDescent="0.25">
      <c r="A354" s="29">
        <f>IFERROR('WV 4.0'!A343, " ")</f>
        <v>0</v>
      </c>
      <c r="B354" s="29">
        <f>IFERROR('WV 4.0'!B343, " ")</f>
        <v>0</v>
      </c>
      <c r="C354" s="29">
        <f>IFERROR('WV 4.0'!C343, " ")</f>
        <v>0</v>
      </c>
      <c r="D354" s="29">
        <f>IFERROR('WV 4.0'!D343, " ")</f>
        <v>0</v>
      </c>
      <c r="E354" s="29">
        <f>IFERROR('WV 4.0'!E343, " ")</f>
        <v>0</v>
      </c>
      <c r="F354" s="27">
        <f>IFERROR(ROUND(HLOOKUP(Таблица5[[#Headers],[Цена КП]],'WV 4.0'!$A:$N,ROW('WV 4.0'!343:343),0),0),"")</f>
        <v>0</v>
      </c>
      <c r="G354" s="27">
        <f>IFERROR(Таблица5[[#This Row],[Цена КП]]*Таблица5[[#This Row],[Кол-во]],"")</f>
        <v>0</v>
      </c>
      <c r="H354" s="42">
        <f>IFERROR(HLOOKUP(Таблица5[[#Headers],[Комментарии]],'WV 4.0'!$A:$N,ROW('WV 4.0'!343:343),0),"")</f>
        <v>0</v>
      </c>
      <c r="I354" s="42">
        <f>IFERROR(HLOOKUP(Таблица5[[#Headers],[Срок поставки]],'WV 4.0'!$A:$N,ROW('WV 4.0'!343:343),0),"")</f>
        <v>0</v>
      </c>
      <c r="J354" s="27" t="str">
        <f>IFERROR(HLOOKUP(Таблица5[[#Headers],[Цена КазНИИСА]],'WV 4.0'!$A:$N,ROW('WV 4.0'!343:343),0),"")</f>
        <v/>
      </c>
      <c r="K354" s="27" t="str">
        <f>IFERROR(HLOOKUP(Таблица5[[#Headers],[Сумма КазНИИСА]],'WV 4.0'!$A:$N,ROW('WV 4.0'!343:343),0),"")</f>
        <v/>
      </c>
      <c r="L354" s="27">
        <f>IFERROR(HLOOKUP(Таблица5[[#Headers],[Код КазНИИСА]],'WV 4.0'!$A:$N,ROW('WV 4.0'!343:343),0),"")</f>
        <v>0</v>
      </c>
      <c r="M354" s="27" t="str">
        <f>IFERROR(HLOOKUP(Таблица5[[#Headers],[РРЦ в тнг]],'WV 4.0'!$A:$N,ROW('WV 4.0'!343:343),0),"")</f>
        <v/>
      </c>
      <c r="N354" s="27" t="str">
        <f>IFERROR(HLOOKUP(Таблица5[[#Headers],[Сумма РРЦ]],'WV 4.0'!$A:$N,ROW('WV 4.0'!343:343),0),"")</f>
        <v/>
      </c>
    </row>
    <row r="355" spans="1:14" x14ac:dyDescent="0.25">
      <c r="A355" s="29">
        <f>IFERROR('WV 4.0'!A344, " ")</f>
        <v>0</v>
      </c>
      <c r="B355" s="29">
        <f>IFERROR('WV 4.0'!B344, " ")</f>
        <v>0</v>
      </c>
      <c r="C355" s="29">
        <f>IFERROR('WV 4.0'!C344, " ")</f>
        <v>0</v>
      </c>
      <c r="D355" s="29">
        <f>IFERROR('WV 4.0'!D344, " ")</f>
        <v>0</v>
      </c>
      <c r="E355" s="29">
        <f>IFERROR('WV 4.0'!E344, " ")</f>
        <v>0</v>
      </c>
      <c r="F355" s="27">
        <f>IFERROR(ROUND(HLOOKUP(Таблица5[[#Headers],[Цена КП]],'WV 4.0'!$A:$N,ROW('WV 4.0'!344:344),0),0),"")</f>
        <v>0</v>
      </c>
      <c r="G355" s="27">
        <f>IFERROR(Таблица5[[#This Row],[Цена КП]]*Таблица5[[#This Row],[Кол-во]],"")</f>
        <v>0</v>
      </c>
      <c r="H355" s="42">
        <f>IFERROR(HLOOKUP(Таблица5[[#Headers],[Комментарии]],'WV 4.0'!$A:$N,ROW('WV 4.0'!344:344),0),"")</f>
        <v>0</v>
      </c>
      <c r="I355" s="42">
        <f>IFERROR(HLOOKUP(Таблица5[[#Headers],[Срок поставки]],'WV 4.0'!$A:$N,ROW('WV 4.0'!344:344),0),"")</f>
        <v>0</v>
      </c>
      <c r="J355" s="27" t="str">
        <f>IFERROR(HLOOKUP(Таблица5[[#Headers],[Цена КазНИИСА]],'WV 4.0'!$A:$N,ROW('WV 4.0'!344:344),0),"")</f>
        <v/>
      </c>
      <c r="K355" s="27" t="str">
        <f>IFERROR(HLOOKUP(Таблица5[[#Headers],[Сумма КазНИИСА]],'WV 4.0'!$A:$N,ROW('WV 4.0'!344:344),0),"")</f>
        <v/>
      </c>
      <c r="L355" s="27">
        <f>IFERROR(HLOOKUP(Таблица5[[#Headers],[Код КазНИИСА]],'WV 4.0'!$A:$N,ROW('WV 4.0'!344:344),0),"")</f>
        <v>0</v>
      </c>
      <c r="M355" s="27" t="str">
        <f>IFERROR(HLOOKUP(Таблица5[[#Headers],[РРЦ в тнг]],'WV 4.0'!$A:$N,ROW('WV 4.0'!344:344),0),"")</f>
        <v/>
      </c>
      <c r="N355" s="27" t="str">
        <f>IFERROR(HLOOKUP(Таблица5[[#Headers],[Сумма РРЦ]],'WV 4.0'!$A:$N,ROW('WV 4.0'!344:344),0),"")</f>
        <v/>
      </c>
    </row>
    <row r="356" spans="1:14" x14ac:dyDescent="0.25">
      <c r="A356" s="29">
        <f>IFERROR('WV 4.0'!A345, " ")</f>
        <v>0</v>
      </c>
      <c r="B356" s="29">
        <f>IFERROR('WV 4.0'!B345, " ")</f>
        <v>0</v>
      </c>
      <c r="C356" s="29">
        <f>IFERROR('WV 4.0'!C345, " ")</f>
        <v>0</v>
      </c>
      <c r="D356" s="29">
        <f>IFERROR('WV 4.0'!D345, " ")</f>
        <v>0</v>
      </c>
      <c r="E356" s="29">
        <f>IFERROR('WV 4.0'!E345, " ")</f>
        <v>0</v>
      </c>
      <c r="F356" s="27">
        <f>IFERROR(ROUND(HLOOKUP(Таблица5[[#Headers],[Цена КП]],'WV 4.0'!$A:$N,ROW('WV 4.0'!345:345),0),0),"")</f>
        <v>0</v>
      </c>
      <c r="G356" s="27">
        <f>IFERROR(Таблица5[[#This Row],[Цена КП]]*Таблица5[[#This Row],[Кол-во]],"")</f>
        <v>0</v>
      </c>
      <c r="H356" s="42">
        <f>IFERROR(HLOOKUP(Таблица5[[#Headers],[Комментарии]],'WV 4.0'!$A:$N,ROW('WV 4.0'!345:345),0),"")</f>
        <v>0</v>
      </c>
      <c r="I356" s="42">
        <f>IFERROR(HLOOKUP(Таблица5[[#Headers],[Срок поставки]],'WV 4.0'!$A:$N,ROW('WV 4.0'!345:345),0),"")</f>
        <v>0</v>
      </c>
      <c r="J356" s="27" t="str">
        <f>IFERROR(HLOOKUP(Таблица5[[#Headers],[Цена КазНИИСА]],'WV 4.0'!$A:$N,ROW('WV 4.0'!345:345),0),"")</f>
        <v/>
      </c>
      <c r="K356" s="27" t="str">
        <f>IFERROR(HLOOKUP(Таблица5[[#Headers],[Сумма КазНИИСА]],'WV 4.0'!$A:$N,ROW('WV 4.0'!345:345),0),"")</f>
        <v/>
      </c>
      <c r="L356" s="27">
        <f>IFERROR(HLOOKUP(Таблица5[[#Headers],[Код КазНИИСА]],'WV 4.0'!$A:$N,ROW('WV 4.0'!345:345),0),"")</f>
        <v>0</v>
      </c>
      <c r="M356" s="27" t="str">
        <f>IFERROR(HLOOKUP(Таблица5[[#Headers],[РРЦ в тнг]],'WV 4.0'!$A:$N,ROW('WV 4.0'!345:345),0),"")</f>
        <v/>
      </c>
      <c r="N356" s="27" t="str">
        <f>IFERROR(HLOOKUP(Таблица5[[#Headers],[Сумма РРЦ]],'WV 4.0'!$A:$N,ROW('WV 4.0'!345:345),0),"")</f>
        <v/>
      </c>
    </row>
    <row r="357" spans="1:14" x14ac:dyDescent="0.25">
      <c r="A357" s="29">
        <f>IFERROR('WV 4.0'!A346, " ")</f>
        <v>0</v>
      </c>
      <c r="B357" s="29">
        <f>IFERROR('WV 4.0'!B346, " ")</f>
        <v>0</v>
      </c>
      <c r="C357" s="29">
        <f>IFERROR('WV 4.0'!C346, " ")</f>
        <v>0</v>
      </c>
      <c r="D357" s="29">
        <f>IFERROR('WV 4.0'!D346, " ")</f>
        <v>0</v>
      </c>
      <c r="E357" s="29">
        <f>IFERROR('WV 4.0'!E346, " ")</f>
        <v>0</v>
      </c>
      <c r="F357" s="27">
        <f>IFERROR(ROUND(HLOOKUP(Таблица5[[#Headers],[Цена КП]],'WV 4.0'!$A:$N,ROW('WV 4.0'!346:346),0),0),"")</f>
        <v>0</v>
      </c>
      <c r="G357" s="27">
        <f>IFERROR(Таблица5[[#This Row],[Цена КП]]*Таблица5[[#This Row],[Кол-во]],"")</f>
        <v>0</v>
      </c>
      <c r="H357" s="42">
        <f>IFERROR(HLOOKUP(Таблица5[[#Headers],[Комментарии]],'WV 4.0'!$A:$N,ROW('WV 4.0'!346:346),0),"")</f>
        <v>0</v>
      </c>
      <c r="I357" s="42">
        <f>IFERROR(HLOOKUP(Таблица5[[#Headers],[Срок поставки]],'WV 4.0'!$A:$N,ROW('WV 4.0'!346:346),0),"")</f>
        <v>0</v>
      </c>
      <c r="J357" s="27" t="str">
        <f>IFERROR(HLOOKUP(Таблица5[[#Headers],[Цена КазНИИСА]],'WV 4.0'!$A:$N,ROW('WV 4.0'!346:346),0),"")</f>
        <v/>
      </c>
      <c r="K357" s="27" t="str">
        <f>IFERROR(HLOOKUP(Таблица5[[#Headers],[Сумма КазНИИСА]],'WV 4.0'!$A:$N,ROW('WV 4.0'!346:346),0),"")</f>
        <v/>
      </c>
      <c r="L357" s="27">
        <f>IFERROR(HLOOKUP(Таблица5[[#Headers],[Код КазНИИСА]],'WV 4.0'!$A:$N,ROW('WV 4.0'!346:346),0),"")</f>
        <v>0</v>
      </c>
      <c r="M357" s="27" t="str">
        <f>IFERROR(HLOOKUP(Таблица5[[#Headers],[РРЦ в тнг]],'WV 4.0'!$A:$N,ROW('WV 4.0'!346:346),0),"")</f>
        <v/>
      </c>
      <c r="N357" s="27" t="str">
        <f>IFERROR(HLOOKUP(Таблица5[[#Headers],[Сумма РРЦ]],'WV 4.0'!$A:$N,ROW('WV 4.0'!346:346),0),"")</f>
        <v/>
      </c>
    </row>
    <row r="358" spans="1:14" x14ac:dyDescent="0.25">
      <c r="A358" s="29">
        <f>IFERROR('WV 4.0'!A347, " ")</f>
        <v>0</v>
      </c>
      <c r="B358" s="29">
        <f>IFERROR('WV 4.0'!B347, " ")</f>
        <v>0</v>
      </c>
      <c r="C358" s="29">
        <f>IFERROR('WV 4.0'!C347, " ")</f>
        <v>0</v>
      </c>
      <c r="D358" s="29">
        <f>IFERROR('WV 4.0'!D347, " ")</f>
        <v>0</v>
      </c>
      <c r="E358" s="29">
        <f>IFERROR('WV 4.0'!E347, " ")</f>
        <v>0</v>
      </c>
      <c r="F358" s="27">
        <f>IFERROR(ROUND(HLOOKUP(Таблица5[[#Headers],[Цена КП]],'WV 4.0'!$A:$N,ROW('WV 4.0'!347:347),0),0),"")</f>
        <v>0</v>
      </c>
      <c r="G358" s="27">
        <f>IFERROR(Таблица5[[#This Row],[Цена КП]]*Таблица5[[#This Row],[Кол-во]],"")</f>
        <v>0</v>
      </c>
      <c r="H358" s="42">
        <f>IFERROR(HLOOKUP(Таблица5[[#Headers],[Комментарии]],'WV 4.0'!$A:$N,ROW('WV 4.0'!347:347),0),"")</f>
        <v>0</v>
      </c>
      <c r="I358" s="42">
        <f>IFERROR(HLOOKUP(Таблица5[[#Headers],[Срок поставки]],'WV 4.0'!$A:$N,ROW('WV 4.0'!347:347),0),"")</f>
        <v>0</v>
      </c>
      <c r="J358" s="27" t="str">
        <f>IFERROR(HLOOKUP(Таблица5[[#Headers],[Цена КазНИИСА]],'WV 4.0'!$A:$N,ROW('WV 4.0'!347:347),0),"")</f>
        <v/>
      </c>
      <c r="K358" s="27" t="str">
        <f>IFERROR(HLOOKUP(Таблица5[[#Headers],[Сумма КазНИИСА]],'WV 4.0'!$A:$N,ROW('WV 4.0'!347:347),0),"")</f>
        <v/>
      </c>
      <c r="L358" s="27">
        <f>IFERROR(HLOOKUP(Таблица5[[#Headers],[Код КазНИИСА]],'WV 4.0'!$A:$N,ROW('WV 4.0'!347:347),0),"")</f>
        <v>0</v>
      </c>
      <c r="M358" s="27" t="str">
        <f>IFERROR(HLOOKUP(Таблица5[[#Headers],[РРЦ в тнг]],'WV 4.0'!$A:$N,ROW('WV 4.0'!347:347),0),"")</f>
        <v/>
      </c>
      <c r="N358" s="27" t="str">
        <f>IFERROR(HLOOKUP(Таблица5[[#Headers],[Сумма РРЦ]],'WV 4.0'!$A:$N,ROW('WV 4.0'!347:347),0),"")</f>
        <v/>
      </c>
    </row>
    <row r="359" spans="1:14" x14ac:dyDescent="0.25">
      <c r="A359" s="29">
        <f>IFERROR('WV 4.0'!A348, " ")</f>
        <v>0</v>
      </c>
      <c r="B359" s="29">
        <f>IFERROR('WV 4.0'!B348, " ")</f>
        <v>0</v>
      </c>
      <c r="C359" s="29">
        <f>IFERROR('WV 4.0'!C348, " ")</f>
        <v>0</v>
      </c>
      <c r="D359" s="29">
        <f>IFERROR('WV 4.0'!D348, " ")</f>
        <v>0</v>
      </c>
      <c r="E359" s="29">
        <f>IFERROR('WV 4.0'!E348, " ")</f>
        <v>0</v>
      </c>
      <c r="F359" s="27">
        <f>IFERROR(ROUND(HLOOKUP(Таблица5[[#Headers],[Цена КП]],'WV 4.0'!$A:$N,ROW('WV 4.0'!348:348),0),0),"")</f>
        <v>0</v>
      </c>
      <c r="G359" s="27">
        <f>IFERROR(Таблица5[[#This Row],[Цена КП]]*Таблица5[[#This Row],[Кол-во]],"")</f>
        <v>0</v>
      </c>
      <c r="H359" s="42">
        <f>IFERROR(HLOOKUP(Таблица5[[#Headers],[Комментарии]],'WV 4.0'!$A:$N,ROW('WV 4.0'!348:348),0),"")</f>
        <v>0</v>
      </c>
      <c r="I359" s="42">
        <f>IFERROR(HLOOKUP(Таблица5[[#Headers],[Срок поставки]],'WV 4.0'!$A:$N,ROW('WV 4.0'!348:348),0),"")</f>
        <v>0</v>
      </c>
      <c r="J359" s="27" t="str">
        <f>IFERROR(HLOOKUP(Таблица5[[#Headers],[Цена КазНИИСА]],'WV 4.0'!$A:$N,ROW('WV 4.0'!348:348),0),"")</f>
        <v/>
      </c>
      <c r="K359" s="27" t="str">
        <f>IFERROR(HLOOKUP(Таблица5[[#Headers],[Сумма КазНИИСА]],'WV 4.0'!$A:$N,ROW('WV 4.0'!348:348),0),"")</f>
        <v/>
      </c>
      <c r="L359" s="27">
        <f>IFERROR(HLOOKUP(Таблица5[[#Headers],[Код КазНИИСА]],'WV 4.0'!$A:$N,ROW('WV 4.0'!348:348),0),"")</f>
        <v>0</v>
      </c>
      <c r="M359" s="27" t="str">
        <f>IFERROR(HLOOKUP(Таблица5[[#Headers],[РРЦ в тнг]],'WV 4.0'!$A:$N,ROW('WV 4.0'!348:348),0),"")</f>
        <v/>
      </c>
      <c r="N359" s="27" t="str">
        <f>IFERROR(HLOOKUP(Таблица5[[#Headers],[Сумма РРЦ]],'WV 4.0'!$A:$N,ROW('WV 4.0'!348:348),0),"")</f>
        <v/>
      </c>
    </row>
    <row r="360" spans="1:14" x14ac:dyDescent="0.25">
      <c r="A360" s="29">
        <f>IFERROR('WV 4.0'!A349, " ")</f>
        <v>0</v>
      </c>
      <c r="B360" s="29">
        <f>IFERROR('WV 4.0'!B349, " ")</f>
        <v>0</v>
      </c>
      <c r="C360" s="29">
        <f>IFERROR('WV 4.0'!C349, " ")</f>
        <v>0</v>
      </c>
      <c r="D360" s="29">
        <f>IFERROR('WV 4.0'!D349, " ")</f>
        <v>0</v>
      </c>
      <c r="E360" s="29">
        <f>IFERROR('WV 4.0'!E349, " ")</f>
        <v>0</v>
      </c>
      <c r="F360" s="27">
        <f>IFERROR(ROUND(HLOOKUP(Таблица5[[#Headers],[Цена КП]],'WV 4.0'!$A:$N,ROW('WV 4.0'!349:349),0),0),"")</f>
        <v>0</v>
      </c>
      <c r="G360" s="27">
        <f>IFERROR(Таблица5[[#This Row],[Цена КП]]*Таблица5[[#This Row],[Кол-во]],"")</f>
        <v>0</v>
      </c>
      <c r="H360" s="42">
        <f>IFERROR(HLOOKUP(Таблица5[[#Headers],[Комментарии]],'WV 4.0'!$A:$N,ROW('WV 4.0'!349:349),0),"")</f>
        <v>0</v>
      </c>
      <c r="I360" s="42">
        <f>IFERROR(HLOOKUP(Таблица5[[#Headers],[Срок поставки]],'WV 4.0'!$A:$N,ROW('WV 4.0'!349:349),0),"")</f>
        <v>0</v>
      </c>
      <c r="J360" s="27" t="str">
        <f>IFERROR(HLOOKUP(Таблица5[[#Headers],[Цена КазНИИСА]],'WV 4.0'!$A:$N,ROW('WV 4.0'!349:349),0),"")</f>
        <v/>
      </c>
      <c r="K360" s="27" t="str">
        <f>IFERROR(HLOOKUP(Таблица5[[#Headers],[Сумма КазНИИСА]],'WV 4.0'!$A:$N,ROW('WV 4.0'!349:349),0),"")</f>
        <v/>
      </c>
      <c r="L360" s="27">
        <f>IFERROR(HLOOKUP(Таблица5[[#Headers],[Код КазНИИСА]],'WV 4.0'!$A:$N,ROW('WV 4.0'!349:349),0),"")</f>
        <v>0</v>
      </c>
      <c r="M360" s="27" t="str">
        <f>IFERROR(HLOOKUP(Таблица5[[#Headers],[РРЦ в тнг]],'WV 4.0'!$A:$N,ROW('WV 4.0'!349:349),0),"")</f>
        <v/>
      </c>
      <c r="N360" s="27" t="str">
        <f>IFERROR(HLOOKUP(Таблица5[[#Headers],[Сумма РРЦ]],'WV 4.0'!$A:$N,ROW('WV 4.0'!349:349),0),"")</f>
        <v/>
      </c>
    </row>
    <row r="361" spans="1:14" x14ac:dyDescent="0.25">
      <c r="A361" s="29">
        <f>IFERROR('WV 4.0'!A350, " ")</f>
        <v>0</v>
      </c>
      <c r="B361" s="29">
        <f>IFERROR('WV 4.0'!B350, " ")</f>
        <v>0</v>
      </c>
      <c r="C361" s="29">
        <f>IFERROR('WV 4.0'!C350, " ")</f>
        <v>0</v>
      </c>
      <c r="D361" s="29">
        <f>IFERROR('WV 4.0'!D350, " ")</f>
        <v>0</v>
      </c>
      <c r="E361" s="29">
        <f>IFERROR('WV 4.0'!E350, " ")</f>
        <v>0</v>
      </c>
      <c r="F361" s="27">
        <f>IFERROR(ROUND(HLOOKUP(Таблица5[[#Headers],[Цена КП]],'WV 4.0'!$A:$N,ROW('WV 4.0'!350:350),0),0),"")</f>
        <v>0</v>
      </c>
      <c r="G361" s="27">
        <f>IFERROR(Таблица5[[#This Row],[Цена КП]]*Таблица5[[#This Row],[Кол-во]],"")</f>
        <v>0</v>
      </c>
      <c r="H361" s="42">
        <f>IFERROR(HLOOKUP(Таблица5[[#Headers],[Комментарии]],'WV 4.0'!$A:$N,ROW('WV 4.0'!350:350),0),"")</f>
        <v>0</v>
      </c>
      <c r="I361" s="42">
        <f>IFERROR(HLOOKUP(Таблица5[[#Headers],[Срок поставки]],'WV 4.0'!$A:$N,ROW('WV 4.0'!350:350),0),"")</f>
        <v>0</v>
      </c>
      <c r="J361" s="27" t="str">
        <f>IFERROR(HLOOKUP(Таблица5[[#Headers],[Цена КазНИИСА]],'WV 4.0'!$A:$N,ROW('WV 4.0'!350:350),0),"")</f>
        <v/>
      </c>
      <c r="K361" s="27" t="str">
        <f>IFERROR(HLOOKUP(Таблица5[[#Headers],[Сумма КазНИИСА]],'WV 4.0'!$A:$N,ROW('WV 4.0'!350:350),0),"")</f>
        <v/>
      </c>
      <c r="L361" s="27">
        <f>IFERROR(HLOOKUP(Таблица5[[#Headers],[Код КазНИИСА]],'WV 4.0'!$A:$N,ROW('WV 4.0'!350:350),0),"")</f>
        <v>0</v>
      </c>
      <c r="M361" s="27" t="str">
        <f>IFERROR(HLOOKUP(Таблица5[[#Headers],[РРЦ в тнг]],'WV 4.0'!$A:$N,ROW('WV 4.0'!350:350),0),"")</f>
        <v/>
      </c>
      <c r="N361" s="27" t="str">
        <f>IFERROR(HLOOKUP(Таблица5[[#Headers],[Сумма РРЦ]],'WV 4.0'!$A:$N,ROW('WV 4.0'!350:350),0),"")</f>
        <v/>
      </c>
    </row>
    <row r="362" spans="1:14" x14ac:dyDescent="0.25">
      <c r="A362" s="29">
        <f>IFERROR('WV 4.0'!A351, " ")</f>
        <v>0</v>
      </c>
      <c r="B362" s="29">
        <f>IFERROR('WV 4.0'!B351, " ")</f>
        <v>0</v>
      </c>
      <c r="C362" s="29">
        <f>IFERROR('WV 4.0'!C351, " ")</f>
        <v>0</v>
      </c>
      <c r="D362" s="29">
        <f>IFERROR('WV 4.0'!D351, " ")</f>
        <v>0</v>
      </c>
      <c r="E362" s="29">
        <f>IFERROR('WV 4.0'!E351, " ")</f>
        <v>0</v>
      </c>
      <c r="F362" s="27">
        <f>IFERROR(ROUND(HLOOKUP(Таблица5[[#Headers],[Цена КП]],'WV 4.0'!$A:$N,ROW('WV 4.0'!351:351),0),0),"")</f>
        <v>0</v>
      </c>
      <c r="G362" s="27">
        <f>IFERROR(Таблица5[[#This Row],[Цена КП]]*Таблица5[[#This Row],[Кол-во]],"")</f>
        <v>0</v>
      </c>
      <c r="H362" s="42">
        <f>IFERROR(HLOOKUP(Таблица5[[#Headers],[Комментарии]],'WV 4.0'!$A:$N,ROW('WV 4.0'!351:351),0),"")</f>
        <v>0</v>
      </c>
      <c r="I362" s="42">
        <f>IFERROR(HLOOKUP(Таблица5[[#Headers],[Срок поставки]],'WV 4.0'!$A:$N,ROW('WV 4.0'!351:351),0),"")</f>
        <v>0</v>
      </c>
      <c r="J362" s="27" t="str">
        <f>IFERROR(HLOOKUP(Таблица5[[#Headers],[Цена КазНИИСА]],'WV 4.0'!$A:$N,ROW('WV 4.0'!351:351),0),"")</f>
        <v/>
      </c>
      <c r="K362" s="27" t="str">
        <f>IFERROR(HLOOKUP(Таблица5[[#Headers],[Сумма КазНИИСА]],'WV 4.0'!$A:$N,ROW('WV 4.0'!351:351),0),"")</f>
        <v/>
      </c>
      <c r="L362" s="27">
        <f>IFERROR(HLOOKUP(Таблица5[[#Headers],[Код КазНИИСА]],'WV 4.0'!$A:$N,ROW('WV 4.0'!351:351),0),"")</f>
        <v>0</v>
      </c>
      <c r="M362" s="27" t="str">
        <f>IFERROR(HLOOKUP(Таблица5[[#Headers],[РРЦ в тнг]],'WV 4.0'!$A:$N,ROW('WV 4.0'!351:351),0),"")</f>
        <v/>
      </c>
      <c r="N362" s="27" t="str">
        <f>IFERROR(HLOOKUP(Таблица5[[#Headers],[Сумма РРЦ]],'WV 4.0'!$A:$N,ROW('WV 4.0'!351:351),0),"")</f>
        <v/>
      </c>
    </row>
    <row r="363" spans="1:14" x14ac:dyDescent="0.25">
      <c r="A363" s="29">
        <f>IFERROR('WV 4.0'!A352, " ")</f>
        <v>0</v>
      </c>
      <c r="B363" s="29">
        <f>IFERROR('WV 4.0'!B352, " ")</f>
        <v>0</v>
      </c>
      <c r="C363" s="29">
        <f>IFERROR('WV 4.0'!C352, " ")</f>
        <v>0</v>
      </c>
      <c r="D363" s="29">
        <f>IFERROR('WV 4.0'!D352, " ")</f>
        <v>0</v>
      </c>
      <c r="E363" s="29">
        <f>IFERROR('WV 4.0'!E352, " ")</f>
        <v>0</v>
      </c>
      <c r="F363" s="27">
        <f>IFERROR(ROUND(HLOOKUP(Таблица5[[#Headers],[Цена КП]],'WV 4.0'!$A:$N,ROW('WV 4.0'!352:352),0),0),"")</f>
        <v>0</v>
      </c>
      <c r="G363" s="27">
        <f>IFERROR(Таблица5[[#This Row],[Цена КП]]*Таблица5[[#This Row],[Кол-во]],"")</f>
        <v>0</v>
      </c>
      <c r="H363" s="42">
        <f>IFERROR(HLOOKUP(Таблица5[[#Headers],[Комментарии]],'WV 4.0'!$A:$N,ROW('WV 4.0'!352:352),0),"")</f>
        <v>0</v>
      </c>
      <c r="I363" s="42">
        <f>IFERROR(HLOOKUP(Таблица5[[#Headers],[Срок поставки]],'WV 4.0'!$A:$N,ROW('WV 4.0'!352:352),0),"")</f>
        <v>0</v>
      </c>
      <c r="J363" s="27" t="str">
        <f>IFERROR(HLOOKUP(Таблица5[[#Headers],[Цена КазНИИСА]],'WV 4.0'!$A:$N,ROW('WV 4.0'!352:352),0),"")</f>
        <v/>
      </c>
      <c r="K363" s="27" t="str">
        <f>IFERROR(HLOOKUP(Таблица5[[#Headers],[Сумма КазНИИСА]],'WV 4.0'!$A:$N,ROW('WV 4.0'!352:352),0),"")</f>
        <v/>
      </c>
      <c r="L363" s="27">
        <f>IFERROR(HLOOKUP(Таблица5[[#Headers],[Код КазНИИСА]],'WV 4.0'!$A:$N,ROW('WV 4.0'!352:352),0),"")</f>
        <v>0</v>
      </c>
      <c r="M363" s="27" t="str">
        <f>IFERROR(HLOOKUP(Таблица5[[#Headers],[РРЦ в тнг]],'WV 4.0'!$A:$N,ROW('WV 4.0'!352:352),0),"")</f>
        <v/>
      </c>
      <c r="N363" s="27" t="str">
        <f>IFERROR(HLOOKUP(Таблица5[[#Headers],[Сумма РРЦ]],'WV 4.0'!$A:$N,ROW('WV 4.0'!352:352),0),"")</f>
        <v/>
      </c>
    </row>
    <row r="364" spans="1:14" x14ac:dyDescent="0.25">
      <c r="A364" s="29">
        <f>IFERROR('WV 4.0'!A353, " ")</f>
        <v>0</v>
      </c>
      <c r="B364" s="29">
        <f>IFERROR('WV 4.0'!B353, " ")</f>
        <v>0</v>
      </c>
      <c r="C364" s="29">
        <f>IFERROR('WV 4.0'!C353, " ")</f>
        <v>0</v>
      </c>
      <c r="D364" s="29">
        <f>IFERROR('WV 4.0'!D353, " ")</f>
        <v>0</v>
      </c>
      <c r="E364" s="29">
        <f>IFERROR('WV 4.0'!E353, " ")</f>
        <v>0</v>
      </c>
      <c r="F364" s="27">
        <f>IFERROR(ROUND(HLOOKUP(Таблица5[[#Headers],[Цена КП]],'WV 4.0'!$A:$N,ROW('WV 4.0'!353:353),0),0),"")</f>
        <v>0</v>
      </c>
      <c r="G364" s="27">
        <f>IFERROR(Таблица5[[#This Row],[Цена КП]]*Таблица5[[#This Row],[Кол-во]],"")</f>
        <v>0</v>
      </c>
      <c r="H364" s="42">
        <f>IFERROR(HLOOKUP(Таблица5[[#Headers],[Комментарии]],'WV 4.0'!$A:$N,ROW('WV 4.0'!353:353),0),"")</f>
        <v>0</v>
      </c>
      <c r="I364" s="42">
        <f>IFERROR(HLOOKUP(Таблица5[[#Headers],[Срок поставки]],'WV 4.0'!$A:$N,ROW('WV 4.0'!353:353),0),"")</f>
        <v>0</v>
      </c>
      <c r="J364" s="27" t="str">
        <f>IFERROR(HLOOKUP(Таблица5[[#Headers],[Цена КазНИИСА]],'WV 4.0'!$A:$N,ROW('WV 4.0'!353:353),0),"")</f>
        <v/>
      </c>
      <c r="K364" s="27" t="str">
        <f>IFERROR(HLOOKUP(Таблица5[[#Headers],[Сумма КазНИИСА]],'WV 4.0'!$A:$N,ROW('WV 4.0'!353:353),0),"")</f>
        <v/>
      </c>
      <c r="L364" s="27">
        <f>IFERROR(HLOOKUP(Таблица5[[#Headers],[Код КазНИИСА]],'WV 4.0'!$A:$N,ROW('WV 4.0'!353:353),0),"")</f>
        <v>0</v>
      </c>
      <c r="M364" s="27" t="str">
        <f>IFERROR(HLOOKUP(Таблица5[[#Headers],[РРЦ в тнг]],'WV 4.0'!$A:$N,ROW('WV 4.0'!353:353),0),"")</f>
        <v/>
      </c>
      <c r="N364" s="27" t="str">
        <f>IFERROR(HLOOKUP(Таблица5[[#Headers],[Сумма РРЦ]],'WV 4.0'!$A:$N,ROW('WV 4.0'!353:353),0),"")</f>
        <v/>
      </c>
    </row>
    <row r="365" spans="1:14" x14ac:dyDescent="0.25">
      <c r="A365" s="29">
        <f>IFERROR('WV 4.0'!A354, " ")</f>
        <v>0</v>
      </c>
      <c r="B365" s="29">
        <f>IFERROR('WV 4.0'!B354, " ")</f>
        <v>0</v>
      </c>
      <c r="C365" s="29">
        <f>IFERROR('WV 4.0'!C354, " ")</f>
        <v>0</v>
      </c>
      <c r="D365" s="29">
        <f>IFERROR('WV 4.0'!D354, " ")</f>
        <v>0</v>
      </c>
      <c r="E365" s="29">
        <f>IFERROR('WV 4.0'!E354, " ")</f>
        <v>0</v>
      </c>
      <c r="F365" s="27">
        <f>IFERROR(ROUND(HLOOKUP(Таблица5[[#Headers],[Цена КП]],'WV 4.0'!$A:$N,ROW('WV 4.0'!354:354),0),0),"")</f>
        <v>0</v>
      </c>
      <c r="G365" s="27">
        <f>IFERROR(Таблица5[[#This Row],[Цена КП]]*Таблица5[[#This Row],[Кол-во]],"")</f>
        <v>0</v>
      </c>
      <c r="H365" s="42">
        <f>IFERROR(HLOOKUP(Таблица5[[#Headers],[Комментарии]],'WV 4.0'!$A:$N,ROW('WV 4.0'!354:354),0),"")</f>
        <v>0</v>
      </c>
      <c r="I365" s="42">
        <f>IFERROR(HLOOKUP(Таблица5[[#Headers],[Срок поставки]],'WV 4.0'!$A:$N,ROW('WV 4.0'!354:354),0),"")</f>
        <v>0</v>
      </c>
      <c r="J365" s="27" t="str">
        <f>IFERROR(HLOOKUP(Таблица5[[#Headers],[Цена КазНИИСА]],'WV 4.0'!$A:$N,ROW('WV 4.0'!354:354),0),"")</f>
        <v/>
      </c>
      <c r="K365" s="27" t="str">
        <f>IFERROR(HLOOKUP(Таблица5[[#Headers],[Сумма КазНИИСА]],'WV 4.0'!$A:$N,ROW('WV 4.0'!354:354),0),"")</f>
        <v/>
      </c>
      <c r="L365" s="27">
        <f>IFERROR(HLOOKUP(Таблица5[[#Headers],[Код КазНИИСА]],'WV 4.0'!$A:$N,ROW('WV 4.0'!354:354),0),"")</f>
        <v>0</v>
      </c>
      <c r="M365" s="27" t="str">
        <f>IFERROR(HLOOKUP(Таблица5[[#Headers],[РРЦ в тнг]],'WV 4.0'!$A:$N,ROW('WV 4.0'!354:354),0),"")</f>
        <v/>
      </c>
      <c r="N365" s="27" t="str">
        <f>IFERROR(HLOOKUP(Таблица5[[#Headers],[Сумма РРЦ]],'WV 4.0'!$A:$N,ROW('WV 4.0'!354:354),0),"")</f>
        <v/>
      </c>
    </row>
    <row r="366" spans="1:14" x14ac:dyDescent="0.25">
      <c r="A366" s="29">
        <f>IFERROR('WV 4.0'!A355, " ")</f>
        <v>0</v>
      </c>
      <c r="B366" s="29">
        <f>IFERROR('WV 4.0'!B355, " ")</f>
        <v>0</v>
      </c>
      <c r="C366" s="29">
        <f>IFERROR('WV 4.0'!C355, " ")</f>
        <v>0</v>
      </c>
      <c r="D366" s="29">
        <f>IFERROR('WV 4.0'!D355, " ")</f>
        <v>0</v>
      </c>
      <c r="E366" s="29">
        <f>IFERROR('WV 4.0'!E355, " ")</f>
        <v>0</v>
      </c>
      <c r="F366" s="27">
        <f>IFERROR(ROUND(HLOOKUP(Таблица5[[#Headers],[Цена КП]],'WV 4.0'!$A:$N,ROW('WV 4.0'!355:355),0),0),"")</f>
        <v>0</v>
      </c>
      <c r="G366" s="27">
        <f>IFERROR(Таблица5[[#This Row],[Цена КП]]*Таблица5[[#This Row],[Кол-во]],"")</f>
        <v>0</v>
      </c>
      <c r="H366" s="42">
        <f>IFERROR(HLOOKUP(Таблица5[[#Headers],[Комментарии]],'WV 4.0'!$A:$N,ROW('WV 4.0'!355:355),0),"")</f>
        <v>0</v>
      </c>
      <c r="I366" s="42">
        <f>IFERROR(HLOOKUP(Таблица5[[#Headers],[Срок поставки]],'WV 4.0'!$A:$N,ROW('WV 4.0'!355:355),0),"")</f>
        <v>0</v>
      </c>
      <c r="J366" s="27" t="str">
        <f>IFERROR(HLOOKUP(Таблица5[[#Headers],[Цена КазНИИСА]],'WV 4.0'!$A:$N,ROW('WV 4.0'!355:355),0),"")</f>
        <v/>
      </c>
      <c r="K366" s="27" t="str">
        <f>IFERROR(HLOOKUP(Таблица5[[#Headers],[Сумма КазНИИСА]],'WV 4.0'!$A:$N,ROW('WV 4.0'!355:355),0),"")</f>
        <v/>
      </c>
      <c r="L366" s="27">
        <f>IFERROR(HLOOKUP(Таблица5[[#Headers],[Код КазНИИСА]],'WV 4.0'!$A:$N,ROW('WV 4.0'!355:355),0),"")</f>
        <v>0</v>
      </c>
      <c r="M366" s="27" t="str">
        <f>IFERROR(HLOOKUP(Таблица5[[#Headers],[РРЦ в тнг]],'WV 4.0'!$A:$N,ROW('WV 4.0'!355:355),0),"")</f>
        <v/>
      </c>
      <c r="N366" s="27" t="str">
        <f>IFERROR(HLOOKUP(Таблица5[[#Headers],[Сумма РРЦ]],'WV 4.0'!$A:$N,ROW('WV 4.0'!355:355),0),"")</f>
        <v/>
      </c>
    </row>
    <row r="367" spans="1:14" x14ac:dyDescent="0.25">
      <c r="A367" s="29">
        <f>IFERROR('WV 4.0'!A356, " ")</f>
        <v>0</v>
      </c>
      <c r="B367" s="29">
        <f>IFERROR('WV 4.0'!B356, " ")</f>
        <v>0</v>
      </c>
      <c r="C367" s="29">
        <f>IFERROR('WV 4.0'!C356, " ")</f>
        <v>0</v>
      </c>
      <c r="D367" s="29">
        <f>IFERROR('WV 4.0'!D356, " ")</f>
        <v>0</v>
      </c>
      <c r="E367" s="29">
        <f>IFERROR('WV 4.0'!E356, " ")</f>
        <v>0</v>
      </c>
      <c r="F367" s="27">
        <f>IFERROR(ROUND(HLOOKUP(Таблица5[[#Headers],[Цена КП]],'WV 4.0'!$A:$N,ROW('WV 4.0'!356:356),0),0),"")</f>
        <v>0</v>
      </c>
      <c r="G367" s="27">
        <f>IFERROR(Таблица5[[#This Row],[Цена КП]]*Таблица5[[#This Row],[Кол-во]],"")</f>
        <v>0</v>
      </c>
      <c r="H367" s="42">
        <f>IFERROR(HLOOKUP(Таблица5[[#Headers],[Комментарии]],'WV 4.0'!$A:$N,ROW('WV 4.0'!356:356),0),"")</f>
        <v>0</v>
      </c>
      <c r="I367" s="42">
        <f>IFERROR(HLOOKUP(Таблица5[[#Headers],[Срок поставки]],'WV 4.0'!$A:$N,ROW('WV 4.0'!356:356),0),"")</f>
        <v>0</v>
      </c>
      <c r="J367" s="27" t="str">
        <f>IFERROR(HLOOKUP(Таблица5[[#Headers],[Цена КазНИИСА]],'WV 4.0'!$A:$N,ROW('WV 4.0'!356:356),0),"")</f>
        <v/>
      </c>
      <c r="K367" s="27" t="str">
        <f>IFERROR(HLOOKUP(Таблица5[[#Headers],[Сумма КазНИИСА]],'WV 4.0'!$A:$N,ROW('WV 4.0'!356:356),0),"")</f>
        <v/>
      </c>
      <c r="L367" s="27">
        <f>IFERROR(HLOOKUP(Таблица5[[#Headers],[Код КазНИИСА]],'WV 4.0'!$A:$N,ROW('WV 4.0'!356:356),0),"")</f>
        <v>0</v>
      </c>
      <c r="M367" s="27" t="str">
        <f>IFERROR(HLOOKUP(Таблица5[[#Headers],[РРЦ в тнг]],'WV 4.0'!$A:$N,ROW('WV 4.0'!356:356),0),"")</f>
        <v/>
      </c>
      <c r="N367" s="27" t="str">
        <f>IFERROR(HLOOKUP(Таблица5[[#Headers],[Сумма РРЦ]],'WV 4.0'!$A:$N,ROW('WV 4.0'!356:356),0),"")</f>
        <v/>
      </c>
    </row>
    <row r="368" spans="1:14" x14ac:dyDescent="0.25">
      <c r="A368" s="29">
        <f>IFERROR('WV 4.0'!A357, " ")</f>
        <v>0</v>
      </c>
      <c r="B368" s="29">
        <f>IFERROR('WV 4.0'!B357, " ")</f>
        <v>0</v>
      </c>
      <c r="C368" s="29">
        <f>IFERROR('WV 4.0'!C357, " ")</f>
        <v>0</v>
      </c>
      <c r="D368" s="29">
        <f>IFERROR('WV 4.0'!D357, " ")</f>
        <v>0</v>
      </c>
      <c r="E368" s="29">
        <f>IFERROR('WV 4.0'!E357, " ")</f>
        <v>0</v>
      </c>
      <c r="F368" s="27">
        <f>IFERROR(ROUND(HLOOKUP(Таблица5[[#Headers],[Цена КП]],'WV 4.0'!$A:$N,ROW('WV 4.0'!357:357),0),0),"")</f>
        <v>0</v>
      </c>
      <c r="G368" s="27">
        <f>IFERROR(Таблица5[[#This Row],[Цена КП]]*Таблица5[[#This Row],[Кол-во]],"")</f>
        <v>0</v>
      </c>
      <c r="H368" s="42">
        <f>IFERROR(HLOOKUP(Таблица5[[#Headers],[Комментарии]],'WV 4.0'!$A:$N,ROW('WV 4.0'!357:357),0),"")</f>
        <v>0</v>
      </c>
      <c r="I368" s="42">
        <f>IFERROR(HLOOKUP(Таблица5[[#Headers],[Срок поставки]],'WV 4.0'!$A:$N,ROW('WV 4.0'!357:357),0),"")</f>
        <v>0</v>
      </c>
      <c r="J368" s="27" t="str">
        <f>IFERROR(HLOOKUP(Таблица5[[#Headers],[Цена КазНИИСА]],'WV 4.0'!$A:$N,ROW('WV 4.0'!357:357),0),"")</f>
        <v/>
      </c>
      <c r="K368" s="27" t="str">
        <f>IFERROR(HLOOKUP(Таблица5[[#Headers],[Сумма КазНИИСА]],'WV 4.0'!$A:$N,ROW('WV 4.0'!357:357),0),"")</f>
        <v/>
      </c>
      <c r="L368" s="27">
        <f>IFERROR(HLOOKUP(Таблица5[[#Headers],[Код КазНИИСА]],'WV 4.0'!$A:$N,ROW('WV 4.0'!357:357),0),"")</f>
        <v>0</v>
      </c>
      <c r="M368" s="27" t="str">
        <f>IFERROR(HLOOKUP(Таблица5[[#Headers],[РРЦ в тнг]],'WV 4.0'!$A:$N,ROW('WV 4.0'!357:357),0),"")</f>
        <v/>
      </c>
      <c r="N368" s="27" t="str">
        <f>IFERROR(HLOOKUP(Таблица5[[#Headers],[Сумма РРЦ]],'WV 4.0'!$A:$N,ROW('WV 4.0'!357:357),0),"")</f>
        <v/>
      </c>
    </row>
    <row r="369" spans="1:14" x14ac:dyDescent="0.25">
      <c r="A369" s="29">
        <f>IFERROR('WV 4.0'!A358, " ")</f>
        <v>0</v>
      </c>
      <c r="B369" s="29">
        <f>IFERROR('WV 4.0'!B358, " ")</f>
        <v>0</v>
      </c>
      <c r="C369" s="29">
        <f>IFERROR('WV 4.0'!C358, " ")</f>
        <v>0</v>
      </c>
      <c r="D369" s="29">
        <f>IFERROR('WV 4.0'!D358, " ")</f>
        <v>0</v>
      </c>
      <c r="E369" s="29">
        <f>IFERROR('WV 4.0'!E358, " ")</f>
        <v>0</v>
      </c>
      <c r="F369" s="27">
        <f>IFERROR(ROUND(HLOOKUP(Таблица5[[#Headers],[Цена КП]],'WV 4.0'!$A:$N,ROW('WV 4.0'!358:358),0),0),"")</f>
        <v>0</v>
      </c>
      <c r="G369" s="27">
        <f>IFERROR(Таблица5[[#This Row],[Цена КП]]*Таблица5[[#This Row],[Кол-во]],"")</f>
        <v>0</v>
      </c>
      <c r="H369" s="42">
        <f>IFERROR(HLOOKUP(Таблица5[[#Headers],[Комментарии]],'WV 4.0'!$A:$N,ROW('WV 4.0'!358:358),0),"")</f>
        <v>0</v>
      </c>
      <c r="I369" s="42">
        <f>IFERROR(HLOOKUP(Таблица5[[#Headers],[Срок поставки]],'WV 4.0'!$A:$N,ROW('WV 4.0'!358:358),0),"")</f>
        <v>0</v>
      </c>
      <c r="J369" s="27" t="str">
        <f>IFERROR(HLOOKUP(Таблица5[[#Headers],[Цена КазНИИСА]],'WV 4.0'!$A:$N,ROW('WV 4.0'!358:358),0),"")</f>
        <v/>
      </c>
      <c r="K369" s="27" t="str">
        <f>IFERROR(HLOOKUP(Таблица5[[#Headers],[Сумма КазНИИСА]],'WV 4.0'!$A:$N,ROW('WV 4.0'!358:358),0),"")</f>
        <v/>
      </c>
      <c r="L369" s="27">
        <f>IFERROR(HLOOKUP(Таблица5[[#Headers],[Код КазНИИСА]],'WV 4.0'!$A:$N,ROW('WV 4.0'!358:358),0),"")</f>
        <v>0</v>
      </c>
      <c r="M369" s="27" t="str">
        <f>IFERROR(HLOOKUP(Таблица5[[#Headers],[РРЦ в тнг]],'WV 4.0'!$A:$N,ROW('WV 4.0'!358:358),0),"")</f>
        <v/>
      </c>
      <c r="N369" s="27" t="str">
        <f>IFERROR(HLOOKUP(Таблица5[[#Headers],[Сумма РРЦ]],'WV 4.0'!$A:$N,ROW('WV 4.0'!358:358),0),"")</f>
        <v/>
      </c>
    </row>
    <row r="370" spans="1:14" x14ac:dyDescent="0.25">
      <c r="A370" s="29">
        <f>IFERROR('WV 4.0'!A359, " ")</f>
        <v>0</v>
      </c>
      <c r="B370" s="29">
        <f>IFERROR('WV 4.0'!B359, " ")</f>
        <v>0</v>
      </c>
      <c r="C370" s="29">
        <f>IFERROR('WV 4.0'!C359, " ")</f>
        <v>0</v>
      </c>
      <c r="D370" s="29">
        <f>IFERROR('WV 4.0'!D359, " ")</f>
        <v>0</v>
      </c>
      <c r="E370" s="29">
        <f>IFERROR('WV 4.0'!E359, " ")</f>
        <v>0</v>
      </c>
      <c r="F370" s="27">
        <f>IFERROR(ROUND(HLOOKUP(Таблица5[[#Headers],[Цена КП]],'WV 4.0'!$A:$N,ROW('WV 4.0'!359:359),0),0),"")</f>
        <v>0</v>
      </c>
      <c r="G370" s="27">
        <f>IFERROR(Таблица5[[#This Row],[Цена КП]]*Таблица5[[#This Row],[Кол-во]],"")</f>
        <v>0</v>
      </c>
      <c r="H370" s="42">
        <f>IFERROR(HLOOKUP(Таблица5[[#Headers],[Комментарии]],'WV 4.0'!$A:$N,ROW('WV 4.0'!359:359),0),"")</f>
        <v>0</v>
      </c>
      <c r="I370" s="42">
        <f>IFERROR(HLOOKUP(Таблица5[[#Headers],[Срок поставки]],'WV 4.0'!$A:$N,ROW('WV 4.0'!359:359),0),"")</f>
        <v>0</v>
      </c>
      <c r="J370" s="27" t="str">
        <f>IFERROR(HLOOKUP(Таблица5[[#Headers],[Цена КазНИИСА]],'WV 4.0'!$A:$N,ROW('WV 4.0'!359:359),0),"")</f>
        <v/>
      </c>
      <c r="K370" s="27" t="str">
        <f>IFERROR(HLOOKUP(Таблица5[[#Headers],[Сумма КазНИИСА]],'WV 4.0'!$A:$N,ROW('WV 4.0'!359:359),0),"")</f>
        <v/>
      </c>
      <c r="L370" s="27">
        <f>IFERROR(HLOOKUP(Таблица5[[#Headers],[Код КазНИИСА]],'WV 4.0'!$A:$N,ROW('WV 4.0'!359:359),0),"")</f>
        <v>0</v>
      </c>
      <c r="M370" s="27" t="str">
        <f>IFERROR(HLOOKUP(Таблица5[[#Headers],[РРЦ в тнг]],'WV 4.0'!$A:$N,ROW('WV 4.0'!359:359),0),"")</f>
        <v/>
      </c>
      <c r="N370" s="27" t="str">
        <f>IFERROR(HLOOKUP(Таблица5[[#Headers],[Сумма РРЦ]],'WV 4.0'!$A:$N,ROW('WV 4.0'!359:359),0),"")</f>
        <v/>
      </c>
    </row>
    <row r="371" spans="1:14" x14ac:dyDescent="0.25">
      <c r="A371" s="29">
        <f>IFERROR('WV 4.0'!A360, " ")</f>
        <v>0</v>
      </c>
      <c r="B371" s="29">
        <f>IFERROR('WV 4.0'!B360, " ")</f>
        <v>0</v>
      </c>
      <c r="C371" s="29">
        <f>IFERROR('WV 4.0'!C360, " ")</f>
        <v>0</v>
      </c>
      <c r="D371" s="29">
        <f>IFERROR('WV 4.0'!D360, " ")</f>
        <v>0</v>
      </c>
      <c r="E371" s="29">
        <f>IFERROR('WV 4.0'!E360, " ")</f>
        <v>0</v>
      </c>
      <c r="F371" s="27">
        <f>IFERROR(ROUND(HLOOKUP(Таблица5[[#Headers],[Цена КП]],'WV 4.0'!$A:$N,ROW('WV 4.0'!360:360),0),0),"")</f>
        <v>0</v>
      </c>
      <c r="G371" s="27">
        <f>IFERROR(Таблица5[[#This Row],[Цена КП]]*Таблица5[[#This Row],[Кол-во]],"")</f>
        <v>0</v>
      </c>
      <c r="H371" s="42">
        <f>IFERROR(HLOOKUP(Таблица5[[#Headers],[Комментарии]],'WV 4.0'!$A:$N,ROW('WV 4.0'!360:360),0),"")</f>
        <v>0</v>
      </c>
      <c r="I371" s="42">
        <f>IFERROR(HLOOKUP(Таблица5[[#Headers],[Срок поставки]],'WV 4.0'!$A:$N,ROW('WV 4.0'!360:360),0),"")</f>
        <v>0</v>
      </c>
      <c r="J371" s="27" t="str">
        <f>IFERROR(HLOOKUP(Таблица5[[#Headers],[Цена КазНИИСА]],'WV 4.0'!$A:$N,ROW('WV 4.0'!360:360),0),"")</f>
        <v/>
      </c>
      <c r="K371" s="27" t="str">
        <f>IFERROR(HLOOKUP(Таблица5[[#Headers],[Сумма КазНИИСА]],'WV 4.0'!$A:$N,ROW('WV 4.0'!360:360),0),"")</f>
        <v/>
      </c>
      <c r="L371" s="27">
        <f>IFERROR(HLOOKUP(Таблица5[[#Headers],[Код КазНИИСА]],'WV 4.0'!$A:$N,ROW('WV 4.0'!360:360),0),"")</f>
        <v>0</v>
      </c>
      <c r="M371" s="27" t="str">
        <f>IFERROR(HLOOKUP(Таблица5[[#Headers],[РРЦ в тнг]],'WV 4.0'!$A:$N,ROW('WV 4.0'!360:360),0),"")</f>
        <v/>
      </c>
      <c r="N371" s="27" t="str">
        <f>IFERROR(HLOOKUP(Таблица5[[#Headers],[Сумма РРЦ]],'WV 4.0'!$A:$N,ROW('WV 4.0'!360:360),0),"")</f>
        <v/>
      </c>
    </row>
    <row r="372" spans="1:14" x14ac:dyDescent="0.25">
      <c r="A372" s="29">
        <f>IFERROR('WV 4.0'!A361, " ")</f>
        <v>0</v>
      </c>
      <c r="B372" s="29">
        <f>IFERROR('WV 4.0'!B361, " ")</f>
        <v>0</v>
      </c>
      <c r="C372" s="29">
        <f>IFERROR('WV 4.0'!C361, " ")</f>
        <v>0</v>
      </c>
      <c r="D372" s="29">
        <f>IFERROR('WV 4.0'!D361, " ")</f>
        <v>0</v>
      </c>
      <c r="E372" s="29">
        <f>IFERROR('WV 4.0'!E361, " ")</f>
        <v>0</v>
      </c>
      <c r="F372" s="27">
        <f>IFERROR(ROUND(HLOOKUP(Таблица5[[#Headers],[Цена КП]],'WV 4.0'!$A:$N,ROW('WV 4.0'!361:361),0),0),"")</f>
        <v>0</v>
      </c>
      <c r="G372" s="27">
        <f>IFERROR(Таблица5[[#This Row],[Цена КП]]*Таблица5[[#This Row],[Кол-во]],"")</f>
        <v>0</v>
      </c>
      <c r="H372" s="42">
        <f>IFERROR(HLOOKUP(Таблица5[[#Headers],[Комментарии]],'WV 4.0'!$A:$N,ROW('WV 4.0'!361:361),0),"")</f>
        <v>0</v>
      </c>
      <c r="I372" s="42">
        <f>IFERROR(HLOOKUP(Таблица5[[#Headers],[Срок поставки]],'WV 4.0'!$A:$N,ROW('WV 4.0'!361:361),0),"")</f>
        <v>0</v>
      </c>
      <c r="J372" s="27" t="str">
        <f>IFERROR(HLOOKUP(Таблица5[[#Headers],[Цена КазНИИСА]],'WV 4.0'!$A:$N,ROW('WV 4.0'!361:361),0),"")</f>
        <v/>
      </c>
      <c r="K372" s="27" t="str">
        <f>IFERROR(HLOOKUP(Таблица5[[#Headers],[Сумма КазНИИСА]],'WV 4.0'!$A:$N,ROW('WV 4.0'!361:361),0),"")</f>
        <v/>
      </c>
      <c r="L372" s="27">
        <f>IFERROR(HLOOKUP(Таблица5[[#Headers],[Код КазНИИСА]],'WV 4.0'!$A:$N,ROW('WV 4.0'!361:361),0),"")</f>
        <v>0</v>
      </c>
      <c r="M372" s="27" t="str">
        <f>IFERROR(HLOOKUP(Таблица5[[#Headers],[РРЦ в тнг]],'WV 4.0'!$A:$N,ROW('WV 4.0'!361:361),0),"")</f>
        <v/>
      </c>
      <c r="N372" s="27" t="str">
        <f>IFERROR(HLOOKUP(Таблица5[[#Headers],[Сумма РРЦ]],'WV 4.0'!$A:$N,ROW('WV 4.0'!361:361),0),"")</f>
        <v/>
      </c>
    </row>
    <row r="373" spans="1:14" x14ac:dyDescent="0.25">
      <c r="A373" s="29">
        <f>IFERROR('WV 4.0'!A362, " ")</f>
        <v>0</v>
      </c>
      <c r="B373" s="29">
        <f>IFERROR('WV 4.0'!B362, " ")</f>
        <v>0</v>
      </c>
      <c r="C373" s="29">
        <f>IFERROR('WV 4.0'!C362, " ")</f>
        <v>0</v>
      </c>
      <c r="D373" s="29">
        <f>IFERROR('WV 4.0'!D362, " ")</f>
        <v>0</v>
      </c>
      <c r="E373" s="29">
        <f>IFERROR('WV 4.0'!E362, " ")</f>
        <v>0</v>
      </c>
      <c r="F373" s="27">
        <f>IFERROR(ROUND(HLOOKUP(Таблица5[[#Headers],[Цена КП]],'WV 4.0'!$A:$N,ROW('WV 4.0'!362:362),0),0),"")</f>
        <v>0</v>
      </c>
      <c r="G373" s="27">
        <f>IFERROR(Таблица5[[#This Row],[Цена КП]]*Таблица5[[#This Row],[Кол-во]],"")</f>
        <v>0</v>
      </c>
      <c r="H373" s="42">
        <f>IFERROR(HLOOKUP(Таблица5[[#Headers],[Комментарии]],'WV 4.0'!$A:$N,ROW('WV 4.0'!362:362),0),"")</f>
        <v>0</v>
      </c>
      <c r="I373" s="42">
        <f>IFERROR(HLOOKUP(Таблица5[[#Headers],[Срок поставки]],'WV 4.0'!$A:$N,ROW('WV 4.0'!362:362),0),"")</f>
        <v>0</v>
      </c>
      <c r="J373" s="27" t="str">
        <f>IFERROR(HLOOKUP(Таблица5[[#Headers],[Цена КазНИИСА]],'WV 4.0'!$A:$N,ROW('WV 4.0'!362:362),0),"")</f>
        <v/>
      </c>
      <c r="K373" s="27" t="str">
        <f>IFERROR(HLOOKUP(Таблица5[[#Headers],[Сумма КазНИИСА]],'WV 4.0'!$A:$N,ROW('WV 4.0'!362:362),0),"")</f>
        <v/>
      </c>
      <c r="L373" s="27">
        <f>IFERROR(HLOOKUP(Таблица5[[#Headers],[Код КазНИИСА]],'WV 4.0'!$A:$N,ROW('WV 4.0'!362:362),0),"")</f>
        <v>0</v>
      </c>
      <c r="M373" s="27" t="str">
        <f>IFERROR(HLOOKUP(Таблица5[[#Headers],[РРЦ в тнг]],'WV 4.0'!$A:$N,ROW('WV 4.0'!362:362),0),"")</f>
        <v/>
      </c>
      <c r="N373" s="27" t="str">
        <f>IFERROR(HLOOKUP(Таблица5[[#Headers],[Сумма РРЦ]],'WV 4.0'!$A:$N,ROW('WV 4.0'!362:362),0),"")</f>
        <v/>
      </c>
    </row>
    <row r="374" spans="1:14" x14ac:dyDescent="0.25">
      <c r="A374" s="29">
        <f>IFERROR('WV 4.0'!A363, " ")</f>
        <v>0</v>
      </c>
      <c r="B374" s="29">
        <f>IFERROR('WV 4.0'!B363, " ")</f>
        <v>0</v>
      </c>
      <c r="C374" s="29">
        <f>IFERROR('WV 4.0'!C363, " ")</f>
        <v>0</v>
      </c>
      <c r="D374" s="29">
        <f>IFERROR('WV 4.0'!D363, " ")</f>
        <v>0</v>
      </c>
      <c r="E374" s="29">
        <f>IFERROR('WV 4.0'!E363, " ")</f>
        <v>0</v>
      </c>
      <c r="F374" s="27">
        <f>IFERROR(ROUND(HLOOKUP(Таблица5[[#Headers],[Цена КП]],'WV 4.0'!$A:$N,ROW('WV 4.0'!363:363),0),0),"")</f>
        <v>0</v>
      </c>
      <c r="G374" s="27">
        <f>IFERROR(Таблица5[[#This Row],[Цена КП]]*Таблица5[[#This Row],[Кол-во]],"")</f>
        <v>0</v>
      </c>
      <c r="H374" s="42">
        <f>IFERROR(HLOOKUP(Таблица5[[#Headers],[Комментарии]],'WV 4.0'!$A:$N,ROW('WV 4.0'!363:363),0),"")</f>
        <v>0</v>
      </c>
      <c r="I374" s="42">
        <f>IFERROR(HLOOKUP(Таблица5[[#Headers],[Срок поставки]],'WV 4.0'!$A:$N,ROW('WV 4.0'!363:363),0),"")</f>
        <v>0</v>
      </c>
      <c r="J374" s="27" t="str">
        <f>IFERROR(HLOOKUP(Таблица5[[#Headers],[Цена КазНИИСА]],'WV 4.0'!$A:$N,ROW('WV 4.0'!363:363),0),"")</f>
        <v/>
      </c>
      <c r="K374" s="27" t="str">
        <f>IFERROR(HLOOKUP(Таблица5[[#Headers],[Сумма КазНИИСА]],'WV 4.0'!$A:$N,ROW('WV 4.0'!363:363),0),"")</f>
        <v/>
      </c>
      <c r="L374" s="27">
        <f>IFERROR(HLOOKUP(Таблица5[[#Headers],[Код КазНИИСА]],'WV 4.0'!$A:$N,ROW('WV 4.0'!363:363),0),"")</f>
        <v>0</v>
      </c>
      <c r="M374" s="27" t="str">
        <f>IFERROR(HLOOKUP(Таблица5[[#Headers],[РРЦ в тнг]],'WV 4.0'!$A:$N,ROW('WV 4.0'!363:363),0),"")</f>
        <v/>
      </c>
      <c r="N374" s="27" t="str">
        <f>IFERROR(HLOOKUP(Таблица5[[#Headers],[Сумма РРЦ]],'WV 4.0'!$A:$N,ROW('WV 4.0'!363:363),0),"")</f>
        <v/>
      </c>
    </row>
    <row r="375" spans="1:14" x14ac:dyDescent="0.25">
      <c r="A375" s="29">
        <f>IFERROR('WV 4.0'!A364, " ")</f>
        <v>0</v>
      </c>
      <c r="B375" s="29">
        <f>IFERROR('WV 4.0'!B364, " ")</f>
        <v>0</v>
      </c>
      <c r="C375" s="29">
        <f>IFERROR('WV 4.0'!C364, " ")</f>
        <v>0</v>
      </c>
      <c r="D375" s="29">
        <f>IFERROR('WV 4.0'!D364, " ")</f>
        <v>0</v>
      </c>
      <c r="E375" s="29">
        <f>IFERROR('WV 4.0'!E364, " ")</f>
        <v>0</v>
      </c>
      <c r="F375" s="27">
        <f>IFERROR(ROUND(HLOOKUP(Таблица5[[#Headers],[Цена КП]],'WV 4.0'!$A:$N,ROW('WV 4.0'!364:364),0),0),"")</f>
        <v>0</v>
      </c>
      <c r="G375" s="27">
        <f>IFERROR(Таблица5[[#This Row],[Цена КП]]*Таблица5[[#This Row],[Кол-во]],"")</f>
        <v>0</v>
      </c>
      <c r="H375" s="42">
        <f>IFERROR(HLOOKUP(Таблица5[[#Headers],[Комментарии]],'WV 4.0'!$A:$N,ROW('WV 4.0'!364:364),0),"")</f>
        <v>0</v>
      </c>
      <c r="I375" s="42">
        <f>IFERROR(HLOOKUP(Таблица5[[#Headers],[Срок поставки]],'WV 4.0'!$A:$N,ROW('WV 4.0'!364:364),0),"")</f>
        <v>0</v>
      </c>
      <c r="J375" s="27" t="str">
        <f>IFERROR(HLOOKUP(Таблица5[[#Headers],[Цена КазНИИСА]],'WV 4.0'!$A:$N,ROW('WV 4.0'!364:364),0),"")</f>
        <v/>
      </c>
      <c r="K375" s="27" t="str">
        <f>IFERROR(HLOOKUP(Таблица5[[#Headers],[Сумма КазНИИСА]],'WV 4.0'!$A:$N,ROW('WV 4.0'!364:364),0),"")</f>
        <v/>
      </c>
      <c r="L375" s="27">
        <f>IFERROR(HLOOKUP(Таблица5[[#Headers],[Код КазНИИСА]],'WV 4.0'!$A:$N,ROW('WV 4.0'!364:364),0),"")</f>
        <v>0</v>
      </c>
      <c r="M375" s="27" t="str">
        <f>IFERROR(HLOOKUP(Таблица5[[#Headers],[РРЦ в тнг]],'WV 4.0'!$A:$N,ROW('WV 4.0'!364:364),0),"")</f>
        <v/>
      </c>
      <c r="N375" s="27" t="str">
        <f>IFERROR(HLOOKUP(Таблица5[[#Headers],[Сумма РРЦ]],'WV 4.0'!$A:$N,ROW('WV 4.0'!364:364),0),"")</f>
        <v/>
      </c>
    </row>
    <row r="376" spans="1:14" x14ac:dyDescent="0.25">
      <c r="A376" s="29">
        <f>IFERROR('WV 4.0'!A365, " ")</f>
        <v>0</v>
      </c>
      <c r="B376" s="29">
        <f>IFERROR('WV 4.0'!B365, " ")</f>
        <v>0</v>
      </c>
      <c r="C376" s="29">
        <f>IFERROR('WV 4.0'!C365, " ")</f>
        <v>0</v>
      </c>
      <c r="D376" s="29">
        <f>IFERROR('WV 4.0'!D365, " ")</f>
        <v>0</v>
      </c>
      <c r="E376" s="29">
        <f>IFERROR('WV 4.0'!E365, " ")</f>
        <v>0</v>
      </c>
      <c r="F376" s="27">
        <f>IFERROR(ROUND(HLOOKUP(Таблица5[[#Headers],[Цена КП]],'WV 4.0'!$A:$N,ROW('WV 4.0'!365:365),0),0),"")</f>
        <v>0</v>
      </c>
      <c r="G376" s="27">
        <f>IFERROR(Таблица5[[#This Row],[Цена КП]]*Таблица5[[#This Row],[Кол-во]],"")</f>
        <v>0</v>
      </c>
      <c r="H376" s="42">
        <f>IFERROR(HLOOKUP(Таблица5[[#Headers],[Комментарии]],'WV 4.0'!$A:$N,ROW('WV 4.0'!365:365),0),"")</f>
        <v>0</v>
      </c>
      <c r="I376" s="42">
        <f>IFERROR(HLOOKUP(Таблица5[[#Headers],[Срок поставки]],'WV 4.0'!$A:$N,ROW('WV 4.0'!365:365),0),"")</f>
        <v>0</v>
      </c>
      <c r="J376" s="27" t="str">
        <f>IFERROR(HLOOKUP(Таблица5[[#Headers],[Цена КазНИИСА]],'WV 4.0'!$A:$N,ROW('WV 4.0'!365:365),0),"")</f>
        <v/>
      </c>
      <c r="K376" s="27" t="str">
        <f>IFERROR(HLOOKUP(Таблица5[[#Headers],[Сумма КазНИИСА]],'WV 4.0'!$A:$N,ROW('WV 4.0'!365:365),0),"")</f>
        <v/>
      </c>
      <c r="L376" s="27">
        <f>IFERROR(HLOOKUP(Таблица5[[#Headers],[Код КазНИИСА]],'WV 4.0'!$A:$N,ROW('WV 4.0'!365:365),0),"")</f>
        <v>0</v>
      </c>
      <c r="M376" s="27" t="str">
        <f>IFERROR(HLOOKUP(Таблица5[[#Headers],[РРЦ в тнг]],'WV 4.0'!$A:$N,ROW('WV 4.0'!365:365),0),"")</f>
        <v/>
      </c>
      <c r="N376" s="27" t="str">
        <f>IFERROR(HLOOKUP(Таблица5[[#Headers],[Сумма РРЦ]],'WV 4.0'!$A:$N,ROW('WV 4.0'!365:365),0),"")</f>
        <v/>
      </c>
    </row>
    <row r="377" spans="1:14" x14ac:dyDescent="0.25">
      <c r="A377" s="29">
        <f>IFERROR('WV 4.0'!A366, " ")</f>
        <v>0</v>
      </c>
      <c r="B377" s="29">
        <f>IFERROR('WV 4.0'!B366, " ")</f>
        <v>0</v>
      </c>
      <c r="C377" s="29">
        <f>IFERROR('WV 4.0'!C366, " ")</f>
        <v>0</v>
      </c>
      <c r="D377" s="29">
        <f>IFERROR('WV 4.0'!D366, " ")</f>
        <v>0</v>
      </c>
      <c r="E377" s="29">
        <f>IFERROR('WV 4.0'!E366, " ")</f>
        <v>0</v>
      </c>
      <c r="F377" s="27">
        <f>IFERROR(ROUND(HLOOKUP(Таблица5[[#Headers],[Цена КП]],'WV 4.0'!$A:$N,ROW('WV 4.0'!366:366),0),0),"")</f>
        <v>0</v>
      </c>
      <c r="G377" s="27">
        <f>IFERROR(Таблица5[[#This Row],[Цена КП]]*Таблица5[[#This Row],[Кол-во]],"")</f>
        <v>0</v>
      </c>
      <c r="H377" s="42">
        <f>IFERROR(HLOOKUP(Таблица5[[#Headers],[Комментарии]],'WV 4.0'!$A:$N,ROW('WV 4.0'!366:366),0),"")</f>
        <v>0</v>
      </c>
      <c r="I377" s="42">
        <f>IFERROR(HLOOKUP(Таблица5[[#Headers],[Срок поставки]],'WV 4.0'!$A:$N,ROW('WV 4.0'!366:366),0),"")</f>
        <v>0</v>
      </c>
      <c r="J377" s="27" t="str">
        <f>IFERROR(HLOOKUP(Таблица5[[#Headers],[Цена КазНИИСА]],'WV 4.0'!$A:$N,ROW('WV 4.0'!366:366),0),"")</f>
        <v/>
      </c>
      <c r="K377" s="27" t="str">
        <f>IFERROR(HLOOKUP(Таблица5[[#Headers],[Сумма КазНИИСА]],'WV 4.0'!$A:$N,ROW('WV 4.0'!366:366),0),"")</f>
        <v/>
      </c>
      <c r="L377" s="27">
        <f>IFERROR(HLOOKUP(Таблица5[[#Headers],[Код КазНИИСА]],'WV 4.0'!$A:$N,ROW('WV 4.0'!366:366),0),"")</f>
        <v>0</v>
      </c>
      <c r="M377" s="27" t="str">
        <f>IFERROR(HLOOKUP(Таблица5[[#Headers],[РРЦ в тнг]],'WV 4.0'!$A:$N,ROW('WV 4.0'!366:366),0),"")</f>
        <v/>
      </c>
      <c r="N377" s="27" t="str">
        <f>IFERROR(HLOOKUP(Таблица5[[#Headers],[Сумма РРЦ]],'WV 4.0'!$A:$N,ROW('WV 4.0'!366:366),0),"")</f>
        <v/>
      </c>
    </row>
    <row r="378" spans="1:14" x14ac:dyDescent="0.25">
      <c r="A378" s="29">
        <f>IFERROR('WV 4.0'!A367, " ")</f>
        <v>0</v>
      </c>
      <c r="B378" s="29">
        <f>IFERROR('WV 4.0'!B367, " ")</f>
        <v>0</v>
      </c>
      <c r="C378" s="29">
        <f>IFERROR('WV 4.0'!C367, " ")</f>
        <v>0</v>
      </c>
      <c r="D378" s="29">
        <f>IFERROR('WV 4.0'!D367, " ")</f>
        <v>0</v>
      </c>
      <c r="E378" s="29">
        <f>IFERROR('WV 4.0'!E367, " ")</f>
        <v>0</v>
      </c>
      <c r="F378" s="27">
        <f>IFERROR(ROUND(HLOOKUP(Таблица5[[#Headers],[Цена КП]],'WV 4.0'!$A:$N,ROW('WV 4.0'!367:367),0),0),"")</f>
        <v>0</v>
      </c>
      <c r="G378" s="27">
        <f>IFERROR(Таблица5[[#This Row],[Цена КП]]*Таблица5[[#This Row],[Кол-во]],"")</f>
        <v>0</v>
      </c>
      <c r="H378" s="42">
        <f>IFERROR(HLOOKUP(Таблица5[[#Headers],[Комментарии]],'WV 4.0'!$A:$N,ROW('WV 4.0'!367:367),0),"")</f>
        <v>0</v>
      </c>
      <c r="I378" s="42">
        <f>IFERROR(HLOOKUP(Таблица5[[#Headers],[Срок поставки]],'WV 4.0'!$A:$N,ROW('WV 4.0'!367:367),0),"")</f>
        <v>0</v>
      </c>
      <c r="J378" s="27" t="str">
        <f>IFERROR(HLOOKUP(Таблица5[[#Headers],[Цена КазНИИСА]],'WV 4.0'!$A:$N,ROW('WV 4.0'!367:367),0),"")</f>
        <v/>
      </c>
      <c r="K378" s="27" t="str">
        <f>IFERROR(HLOOKUP(Таблица5[[#Headers],[Сумма КазНИИСА]],'WV 4.0'!$A:$N,ROW('WV 4.0'!367:367),0),"")</f>
        <v/>
      </c>
      <c r="L378" s="27">
        <f>IFERROR(HLOOKUP(Таблица5[[#Headers],[Код КазНИИСА]],'WV 4.0'!$A:$N,ROW('WV 4.0'!367:367),0),"")</f>
        <v>0</v>
      </c>
      <c r="M378" s="27" t="str">
        <f>IFERROR(HLOOKUP(Таблица5[[#Headers],[РРЦ в тнг]],'WV 4.0'!$A:$N,ROW('WV 4.0'!367:367),0),"")</f>
        <v/>
      </c>
      <c r="N378" s="27" t="str">
        <f>IFERROR(HLOOKUP(Таблица5[[#Headers],[Сумма РРЦ]],'WV 4.0'!$A:$N,ROW('WV 4.0'!367:367),0),"")</f>
        <v/>
      </c>
    </row>
    <row r="379" spans="1:14" x14ac:dyDescent="0.25">
      <c r="A379" s="29">
        <f>IFERROR('WV 4.0'!A368, " ")</f>
        <v>0</v>
      </c>
      <c r="B379" s="29">
        <f>IFERROR('WV 4.0'!B368, " ")</f>
        <v>0</v>
      </c>
      <c r="C379" s="29">
        <f>IFERROR('WV 4.0'!C368, " ")</f>
        <v>0</v>
      </c>
      <c r="D379" s="29">
        <f>IFERROR('WV 4.0'!D368, " ")</f>
        <v>0</v>
      </c>
      <c r="E379" s="29">
        <f>IFERROR('WV 4.0'!E368, " ")</f>
        <v>0</v>
      </c>
      <c r="F379" s="27">
        <f>IFERROR(ROUND(HLOOKUP(Таблица5[[#Headers],[Цена КП]],'WV 4.0'!$A:$N,ROW('WV 4.0'!368:368),0),0),"")</f>
        <v>0</v>
      </c>
      <c r="G379" s="27">
        <f>IFERROR(Таблица5[[#This Row],[Цена КП]]*Таблица5[[#This Row],[Кол-во]],"")</f>
        <v>0</v>
      </c>
      <c r="H379" s="42">
        <f>IFERROR(HLOOKUP(Таблица5[[#Headers],[Комментарии]],'WV 4.0'!$A:$N,ROW('WV 4.0'!368:368),0),"")</f>
        <v>0</v>
      </c>
      <c r="I379" s="42">
        <f>IFERROR(HLOOKUP(Таблица5[[#Headers],[Срок поставки]],'WV 4.0'!$A:$N,ROW('WV 4.0'!368:368),0),"")</f>
        <v>0</v>
      </c>
      <c r="J379" s="27" t="str">
        <f>IFERROR(HLOOKUP(Таблица5[[#Headers],[Цена КазНИИСА]],'WV 4.0'!$A:$N,ROW('WV 4.0'!368:368),0),"")</f>
        <v/>
      </c>
      <c r="K379" s="27" t="str">
        <f>IFERROR(HLOOKUP(Таблица5[[#Headers],[Сумма КазНИИСА]],'WV 4.0'!$A:$N,ROW('WV 4.0'!368:368),0),"")</f>
        <v/>
      </c>
      <c r="L379" s="27">
        <f>IFERROR(HLOOKUP(Таблица5[[#Headers],[Код КазНИИСА]],'WV 4.0'!$A:$N,ROW('WV 4.0'!368:368),0),"")</f>
        <v>0</v>
      </c>
      <c r="M379" s="27" t="str">
        <f>IFERROR(HLOOKUP(Таблица5[[#Headers],[РРЦ в тнг]],'WV 4.0'!$A:$N,ROW('WV 4.0'!368:368),0),"")</f>
        <v/>
      </c>
      <c r="N379" s="27" t="str">
        <f>IFERROR(HLOOKUP(Таблица5[[#Headers],[Сумма РРЦ]],'WV 4.0'!$A:$N,ROW('WV 4.0'!368:368),0),"")</f>
        <v/>
      </c>
    </row>
    <row r="380" spans="1:14" x14ac:dyDescent="0.25">
      <c r="A380" s="29">
        <f>IFERROR('WV 4.0'!A369, " ")</f>
        <v>0</v>
      </c>
      <c r="B380" s="29">
        <f>IFERROR('WV 4.0'!B369, " ")</f>
        <v>0</v>
      </c>
      <c r="C380" s="29">
        <f>IFERROR('WV 4.0'!C369, " ")</f>
        <v>0</v>
      </c>
      <c r="D380" s="29">
        <f>IFERROR('WV 4.0'!D369, " ")</f>
        <v>0</v>
      </c>
      <c r="E380" s="29">
        <f>IFERROR('WV 4.0'!E369, " ")</f>
        <v>0</v>
      </c>
      <c r="F380" s="27">
        <f>IFERROR(ROUND(HLOOKUP(Таблица5[[#Headers],[Цена КП]],'WV 4.0'!$A:$N,ROW('WV 4.0'!369:369),0),0),"")</f>
        <v>0</v>
      </c>
      <c r="G380" s="27">
        <f>IFERROR(Таблица5[[#This Row],[Цена КП]]*Таблица5[[#This Row],[Кол-во]],"")</f>
        <v>0</v>
      </c>
      <c r="H380" s="42">
        <f>IFERROR(HLOOKUP(Таблица5[[#Headers],[Комментарии]],'WV 4.0'!$A:$N,ROW('WV 4.0'!369:369),0),"")</f>
        <v>0</v>
      </c>
      <c r="I380" s="42">
        <f>IFERROR(HLOOKUP(Таблица5[[#Headers],[Срок поставки]],'WV 4.0'!$A:$N,ROW('WV 4.0'!369:369),0),"")</f>
        <v>0</v>
      </c>
      <c r="J380" s="27" t="str">
        <f>IFERROR(HLOOKUP(Таблица5[[#Headers],[Цена КазНИИСА]],'WV 4.0'!$A:$N,ROW('WV 4.0'!369:369),0),"")</f>
        <v/>
      </c>
      <c r="K380" s="27" t="str">
        <f>IFERROR(HLOOKUP(Таблица5[[#Headers],[Сумма КазНИИСА]],'WV 4.0'!$A:$N,ROW('WV 4.0'!369:369),0),"")</f>
        <v/>
      </c>
      <c r="L380" s="27">
        <f>IFERROR(HLOOKUP(Таблица5[[#Headers],[Код КазНИИСА]],'WV 4.0'!$A:$N,ROW('WV 4.0'!369:369),0),"")</f>
        <v>0</v>
      </c>
      <c r="M380" s="27" t="str">
        <f>IFERROR(HLOOKUP(Таблица5[[#Headers],[РРЦ в тнг]],'WV 4.0'!$A:$N,ROW('WV 4.0'!369:369),0),"")</f>
        <v/>
      </c>
      <c r="N380" s="27" t="str">
        <f>IFERROR(HLOOKUP(Таблица5[[#Headers],[Сумма РРЦ]],'WV 4.0'!$A:$N,ROW('WV 4.0'!369:369),0),"")</f>
        <v/>
      </c>
    </row>
    <row r="381" spans="1:14" x14ac:dyDescent="0.25">
      <c r="A381" s="29">
        <f>IFERROR('WV 4.0'!A370, " ")</f>
        <v>0</v>
      </c>
      <c r="B381" s="29">
        <f>IFERROR('WV 4.0'!B370, " ")</f>
        <v>0</v>
      </c>
      <c r="C381" s="29">
        <f>IFERROR('WV 4.0'!C370, " ")</f>
        <v>0</v>
      </c>
      <c r="D381" s="29">
        <f>IFERROR('WV 4.0'!D370, " ")</f>
        <v>0</v>
      </c>
      <c r="E381" s="29">
        <f>IFERROR('WV 4.0'!E370, " ")</f>
        <v>0</v>
      </c>
      <c r="F381" s="27">
        <f>IFERROR(ROUND(HLOOKUP(Таблица5[[#Headers],[Цена КП]],'WV 4.0'!$A:$N,ROW('WV 4.0'!370:370),0),0),"")</f>
        <v>0</v>
      </c>
      <c r="G381" s="27">
        <f>IFERROR(Таблица5[[#This Row],[Цена КП]]*Таблица5[[#This Row],[Кол-во]],"")</f>
        <v>0</v>
      </c>
      <c r="H381" s="42">
        <f>IFERROR(HLOOKUP(Таблица5[[#Headers],[Комментарии]],'WV 4.0'!$A:$N,ROW('WV 4.0'!370:370),0),"")</f>
        <v>0</v>
      </c>
      <c r="I381" s="42">
        <f>IFERROR(HLOOKUP(Таблица5[[#Headers],[Срок поставки]],'WV 4.0'!$A:$N,ROW('WV 4.0'!370:370),0),"")</f>
        <v>0</v>
      </c>
      <c r="J381" s="27" t="str">
        <f>IFERROR(HLOOKUP(Таблица5[[#Headers],[Цена КазНИИСА]],'WV 4.0'!$A:$N,ROW('WV 4.0'!370:370),0),"")</f>
        <v/>
      </c>
      <c r="K381" s="27" t="str">
        <f>IFERROR(HLOOKUP(Таблица5[[#Headers],[Сумма КазНИИСА]],'WV 4.0'!$A:$N,ROW('WV 4.0'!370:370),0),"")</f>
        <v/>
      </c>
      <c r="L381" s="27">
        <f>IFERROR(HLOOKUP(Таблица5[[#Headers],[Код КазНИИСА]],'WV 4.0'!$A:$N,ROW('WV 4.0'!370:370),0),"")</f>
        <v>0</v>
      </c>
      <c r="M381" s="27" t="str">
        <f>IFERROR(HLOOKUP(Таблица5[[#Headers],[РРЦ в тнг]],'WV 4.0'!$A:$N,ROW('WV 4.0'!370:370),0),"")</f>
        <v/>
      </c>
      <c r="N381" s="27" t="str">
        <f>IFERROR(HLOOKUP(Таблица5[[#Headers],[Сумма РРЦ]],'WV 4.0'!$A:$N,ROW('WV 4.0'!370:370),0),"")</f>
        <v/>
      </c>
    </row>
    <row r="382" spans="1:14" x14ac:dyDescent="0.25">
      <c r="A382" s="29">
        <f>IFERROR('WV 4.0'!A371, " ")</f>
        <v>0</v>
      </c>
      <c r="B382" s="29">
        <f>IFERROR('WV 4.0'!B371, " ")</f>
        <v>0</v>
      </c>
      <c r="C382" s="29">
        <f>IFERROR('WV 4.0'!C371, " ")</f>
        <v>0</v>
      </c>
      <c r="D382" s="29">
        <f>IFERROR('WV 4.0'!D371, " ")</f>
        <v>0</v>
      </c>
      <c r="E382" s="29">
        <f>IFERROR('WV 4.0'!E371, " ")</f>
        <v>0</v>
      </c>
      <c r="F382" s="27">
        <f>IFERROR(ROUND(HLOOKUP(Таблица5[[#Headers],[Цена КП]],'WV 4.0'!$A:$N,ROW('WV 4.0'!371:371),0),0),"")</f>
        <v>0</v>
      </c>
      <c r="G382" s="27">
        <f>IFERROR(Таблица5[[#This Row],[Цена КП]]*Таблица5[[#This Row],[Кол-во]],"")</f>
        <v>0</v>
      </c>
      <c r="H382" s="42">
        <f>IFERROR(HLOOKUP(Таблица5[[#Headers],[Комментарии]],'WV 4.0'!$A:$N,ROW('WV 4.0'!371:371),0),"")</f>
        <v>0</v>
      </c>
      <c r="I382" s="42">
        <f>IFERROR(HLOOKUP(Таблица5[[#Headers],[Срок поставки]],'WV 4.0'!$A:$N,ROW('WV 4.0'!371:371),0),"")</f>
        <v>0</v>
      </c>
      <c r="J382" s="27" t="str">
        <f>IFERROR(HLOOKUP(Таблица5[[#Headers],[Цена КазНИИСА]],'WV 4.0'!$A:$N,ROW('WV 4.0'!371:371),0),"")</f>
        <v/>
      </c>
      <c r="K382" s="27" t="str">
        <f>IFERROR(HLOOKUP(Таблица5[[#Headers],[Сумма КазНИИСА]],'WV 4.0'!$A:$N,ROW('WV 4.0'!371:371),0),"")</f>
        <v/>
      </c>
      <c r="L382" s="27">
        <f>IFERROR(HLOOKUP(Таблица5[[#Headers],[Код КазНИИСА]],'WV 4.0'!$A:$N,ROW('WV 4.0'!371:371),0),"")</f>
        <v>0</v>
      </c>
      <c r="M382" s="27" t="str">
        <f>IFERROR(HLOOKUP(Таблица5[[#Headers],[РРЦ в тнг]],'WV 4.0'!$A:$N,ROW('WV 4.0'!371:371),0),"")</f>
        <v/>
      </c>
      <c r="N382" s="27" t="str">
        <f>IFERROR(HLOOKUP(Таблица5[[#Headers],[Сумма РРЦ]],'WV 4.0'!$A:$N,ROW('WV 4.0'!371:371),0),"")</f>
        <v/>
      </c>
    </row>
    <row r="383" spans="1:14" x14ac:dyDescent="0.25">
      <c r="A383" s="29">
        <f>IFERROR('WV 4.0'!A372, " ")</f>
        <v>0</v>
      </c>
      <c r="B383" s="29">
        <f>IFERROR('WV 4.0'!B372, " ")</f>
        <v>0</v>
      </c>
      <c r="C383" s="29">
        <f>IFERROR('WV 4.0'!C372, " ")</f>
        <v>0</v>
      </c>
      <c r="D383" s="29">
        <f>IFERROR('WV 4.0'!D372, " ")</f>
        <v>0</v>
      </c>
      <c r="E383" s="29">
        <f>IFERROR('WV 4.0'!E372, " ")</f>
        <v>0</v>
      </c>
      <c r="F383" s="27">
        <f>IFERROR(ROUND(HLOOKUP(Таблица5[[#Headers],[Цена КП]],'WV 4.0'!$A:$N,ROW('WV 4.0'!372:372),0),0),"")</f>
        <v>0</v>
      </c>
      <c r="G383" s="27">
        <f>IFERROR(Таблица5[[#This Row],[Цена КП]]*Таблица5[[#This Row],[Кол-во]],"")</f>
        <v>0</v>
      </c>
      <c r="H383" s="42">
        <f>IFERROR(HLOOKUP(Таблица5[[#Headers],[Комментарии]],'WV 4.0'!$A:$N,ROW('WV 4.0'!372:372),0),"")</f>
        <v>0</v>
      </c>
      <c r="I383" s="42">
        <f>IFERROR(HLOOKUP(Таблица5[[#Headers],[Срок поставки]],'WV 4.0'!$A:$N,ROW('WV 4.0'!372:372),0),"")</f>
        <v>0</v>
      </c>
      <c r="J383" s="27" t="str">
        <f>IFERROR(HLOOKUP(Таблица5[[#Headers],[Цена КазНИИСА]],'WV 4.0'!$A:$N,ROW('WV 4.0'!372:372),0),"")</f>
        <v/>
      </c>
      <c r="K383" s="27" t="str">
        <f>IFERROR(HLOOKUP(Таблица5[[#Headers],[Сумма КазНИИСА]],'WV 4.0'!$A:$N,ROW('WV 4.0'!372:372),0),"")</f>
        <v/>
      </c>
      <c r="L383" s="27">
        <f>IFERROR(HLOOKUP(Таблица5[[#Headers],[Код КазНИИСА]],'WV 4.0'!$A:$N,ROW('WV 4.0'!372:372),0),"")</f>
        <v>0</v>
      </c>
      <c r="M383" s="27" t="str">
        <f>IFERROR(HLOOKUP(Таблица5[[#Headers],[РРЦ в тнг]],'WV 4.0'!$A:$N,ROW('WV 4.0'!372:372),0),"")</f>
        <v/>
      </c>
      <c r="N383" s="27" t="str">
        <f>IFERROR(HLOOKUP(Таблица5[[#Headers],[Сумма РРЦ]],'WV 4.0'!$A:$N,ROW('WV 4.0'!372:372),0),"")</f>
        <v/>
      </c>
    </row>
    <row r="384" spans="1:14" x14ac:dyDescent="0.25">
      <c r="A384" s="29">
        <f>IFERROR('WV 4.0'!A373, " ")</f>
        <v>0</v>
      </c>
      <c r="B384" s="29">
        <f>IFERROR('WV 4.0'!B373, " ")</f>
        <v>0</v>
      </c>
      <c r="C384" s="29">
        <f>IFERROR('WV 4.0'!C373, " ")</f>
        <v>0</v>
      </c>
      <c r="D384" s="29">
        <f>IFERROR('WV 4.0'!D373, " ")</f>
        <v>0</v>
      </c>
      <c r="E384" s="29">
        <f>IFERROR('WV 4.0'!E373, " ")</f>
        <v>0</v>
      </c>
      <c r="F384" s="27">
        <f>IFERROR(ROUND(HLOOKUP(Таблица5[[#Headers],[Цена КП]],'WV 4.0'!$A:$N,ROW('WV 4.0'!373:373),0),0),"")</f>
        <v>0</v>
      </c>
      <c r="G384" s="27">
        <f>IFERROR(Таблица5[[#This Row],[Цена КП]]*Таблица5[[#This Row],[Кол-во]],"")</f>
        <v>0</v>
      </c>
      <c r="H384" s="42">
        <f>IFERROR(HLOOKUP(Таблица5[[#Headers],[Комментарии]],'WV 4.0'!$A:$N,ROW('WV 4.0'!373:373),0),"")</f>
        <v>0</v>
      </c>
      <c r="I384" s="42">
        <f>IFERROR(HLOOKUP(Таблица5[[#Headers],[Срок поставки]],'WV 4.0'!$A:$N,ROW('WV 4.0'!373:373),0),"")</f>
        <v>0</v>
      </c>
      <c r="J384" s="27" t="str">
        <f>IFERROR(HLOOKUP(Таблица5[[#Headers],[Цена КазНИИСА]],'WV 4.0'!$A:$N,ROW('WV 4.0'!373:373),0),"")</f>
        <v/>
      </c>
      <c r="K384" s="27" t="str">
        <f>IFERROR(HLOOKUP(Таблица5[[#Headers],[Сумма КазНИИСА]],'WV 4.0'!$A:$N,ROW('WV 4.0'!373:373),0),"")</f>
        <v/>
      </c>
      <c r="L384" s="27">
        <f>IFERROR(HLOOKUP(Таблица5[[#Headers],[Код КазНИИСА]],'WV 4.0'!$A:$N,ROW('WV 4.0'!373:373),0),"")</f>
        <v>0</v>
      </c>
      <c r="M384" s="27" t="str">
        <f>IFERROR(HLOOKUP(Таблица5[[#Headers],[РРЦ в тнг]],'WV 4.0'!$A:$N,ROW('WV 4.0'!373:373),0),"")</f>
        <v/>
      </c>
      <c r="N384" s="27" t="str">
        <f>IFERROR(HLOOKUP(Таблица5[[#Headers],[Сумма РРЦ]],'WV 4.0'!$A:$N,ROW('WV 4.0'!373:373),0),"")</f>
        <v/>
      </c>
    </row>
    <row r="385" spans="1:14" x14ac:dyDescent="0.25">
      <c r="A385" s="29">
        <f>IFERROR('WV 4.0'!A374, " ")</f>
        <v>0</v>
      </c>
      <c r="B385" s="29">
        <f>IFERROR('WV 4.0'!B374, " ")</f>
        <v>0</v>
      </c>
      <c r="C385" s="29">
        <f>IFERROR('WV 4.0'!C374, " ")</f>
        <v>0</v>
      </c>
      <c r="D385" s="29">
        <f>IFERROR('WV 4.0'!D374, " ")</f>
        <v>0</v>
      </c>
      <c r="E385" s="29">
        <f>IFERROR('WV 4.0'!E374, " ")</f>
        <v>0</v>
      </c>
      <c r="F385" s="27">
        <f>IFERROR(ROUND(HLOOKUP(Таблица5[[#Headers],[Цена КП]],'WV 4.0'!$A:$N,ROW('WV 4.0'!374:374),0),0),"")</f>
        <v>0</v>
      </c>
      <c r="G385" s="27">
        <f>IFERROR(Таблица5[[#This Row],[Цена КП]]*Таблица5[[#This Row],[Кол-во]],"")</f>
        <v>0</v>
      </c>
      <c r="H385" s="42">
        <f>IFERROR(HLOOKUP(Таблица5[[#Headers],[Комментарии]],'WV 4.0'!$A:$N,ROW('WV 4.0'!374:374),0),"")</f>
        <v>0</v>
      </c>
      <c r="I385" s="42">
        <f>IFERROR(HLOOKUP(Таблица5[[#Headers],[Срок поставки]],'WV 4.0'!$A:$N,ROW('WV 4.0'!374:374),0),"")</f>
        <v>0</v>
      </c>
      <c r="J385" s="27" t="str">
        <f>IFERROR(HLOOKUP(Таблица5[[#Headers],[Цена КазНИИСА]],'WV 4.0'!$A:$N,ROW('WV 4.0'!374:374),0),"")</f>
        <v/>
      </c>
      <c r="K385" s="27" t="str">
        <f>IFERROR(HLOOKUP(Таблица5[[#Headers],[Сумма КазНИИСА]],'WV 4.0'!$A:$N,ROW('WV 4.0'!374:374),0),"")</f>
        <v/>
      </c>
      <c r="L385" s="27">
        <f>IFERROR(HLOOKUP(Таблица5[[#Headers],[Код КазНИИСА]],'WV 4.0'!$A:$N,ROW('WV 4.0'!374:374),0),"")</f>
        <v>0</v>
      </c>
      <c r="M385" s="27" t="str">
        <f>IFERROR(HLOOKUP(Таблица5[[#Headers],[РРЦ в тнг]],'WV 4.0'!$A:$N,ROW('WV 4.0'!374:374),0),"")</f>
        <v/>
      </c>
      <c r="N385" s="27" t="str">
        <f>IFERROR(HLOOKUP(Таблица5[[#Headers],[Сумма РРЦ]],'WV 4.0'!$A:$N,ROW('WV 4.0'!374:374),0),"")</f>
        <v/>
      </c>
    </row>
    <row r="386" spans="1:14" x14ac:dyDescent="0.25">
      <c r="A386" s="29">
        <f>IFERROR('WV 4.0'!A375, " ")</f>
        <v>0</v>
      </c>
      <c r="B386" s="29">
        <f>IFERROR('WV 4.0'!B375, " ")</f>
        <v>0</v>
      </c>
      <c r="C386" s="29">
        <f>IFERROR('WV 4.0'!C375, " ")</f>
        <v>0</v>
      </c>
      <c r="D386" s="29">
        <f>IFERROR('WV 4.0'!D375, " ")</f>
        <v>0</v>
      </c>
      <c r="E386" s="29">
        <f>IFERROR('WV 4.0'!E375, " ")</f>
        <v>0</v>
      </c>
      <c r="F386" s="27">
        <f>IFERROR(ROUND(HLOOKUP(Таблица5[[#Headers],[Цена КП]],'WV 4.0'!$A:$N,ROW('WV 4.0'!375:375),0),0),"")</f>
        <v>0</v>
      </c>
      <c r="G386" s="27">
        <f>IFERROR(Таблица5[[#This Row],[Цена КП]]*Таблица5[[#This Row],[Кол-во]],"")</f>
        <v>0</v>
      </c>
      <c r="H386" s="42">
        <f>IFERROR(HLOOKUP(Таблица5[[#Headers],[Комментарии]],'WV 4.0'!$A:$N,ROW('WV 4.0'!375:375),0),"")</f>
        <v>0</v>
      </c>
      <c r="I386" s="42">
        <f>IFERROR(HLOOKUP(Таблица5[[#Headers],[Срок поставки]],'WV 4.0'!$A:$N,ROW('WV 4.0'!375:375),0),"")</f>
        <v>0</v>
      </c>
      <c r="J386" s="27" t="str">
        <f>IFERROR(HLOOKUP(Таблица5[[#Headers],[Цена КазНИИСА]],'WV 4.0'!$A:$N,ROW('WV 4.0'!375:375),0),"")</f>
        <v/>
      </c>
      <c r="K386" s="27" t="str">
        <f>IFERROR(HLOOKUP(Таблица5[[#Headers],[Сумма КазНИИСА]],'WV 4.0'!$A:$N,ROW('WV 4.0'!375:375),0),"")</f>
        <v/>
      </c>
      <c r="L386" s="27">
        <f>IFERROR(HLOOKUP(Таблица5[[#Headers],[Код КазНИИСА]],'WV 4.0'!$A:$N,ROW('WV 4.0'!375:375),0),"")</f>
        <v>0</v>
      </c>
      <c r="M386" s="27" t="str">
        <f>IFERROR(HLOOKUP(Таблица5[[#Headers],[РРЦ в тнг]],'WV 4.0'!$A:$N,ROW('WV 4.0'!375:375),0),"")</f>
        <v/>
      </c>
      <c r="N386" s="27" t="str">
        <f>IFERROR(HLOOKUP(Таблица5[[#Headers],[Сумма РРЦ]],'WV 4.0'!$A:$N,ROW('WV 4.0'!375:375),0),"")</f>
        <v/>
      </c>
    </row>
    <row r="387" spans="1:14" x14ac:dyDescent="0.25">
      <c r="A387" s="29">
        <f>IFERROR('WV 4.0'!A376, " ")</f>
        <v>0</v>
      </c>
      <c r="B387" s="29">
        <f>IFERROR('WV 4.0'!B376, " ")</f>
        <v>0</v>
      </c>
      <c r="C387" s="29">
        <f>IFERROR('WV 4.0'!C376, " ")</f>
        <v>0</v>
      </c>
      <c r="D387" s="29">
        <f>IFERROR('WV 4.0'!D376, " ")</f>
        <v>0</v>
      </c>
      <c r="E387" s="29">
        <f>IFERROR('WV 4.0'!E376, " ")</f>
        <v>0</v>
      </c>
      <c r="F387" s="27">
        <f>IFERROR(ROUND(HLOOKUP(Таблица5[[#Headers],[Цена КП]],'WV 4.0'!$A:$N,ROW('WV 4.0'!376:376),0),0),"")</f>
        <v>0</v>
      </c>
      <c r="G387" s="27">
        <f>IFERROR(Таблица5[[#This Row],[Цена КП]]*Таблица5[[#This Row],[Кол-во]],"")</f>
        <v>0</v>
      </c>
      <c r="H387" s="42">
        <f>IFERROR(HLOOKUP(Таблица5[[#Headers],[Комментарии]],'WV 4.0'!$A:$N,ROW('WV 4.0'!376:376),0),"")</f>
        <v>0</v>
      </c>
      <c r="I387" s="42">
        <f>IFERROR(HLOOKUP(Таблица5[[#Headers],[Срок поставки]],'WV 4.0'!$A:$N,ROW('WV 4.0'!376:376),0),"")</f>
        <v>0</v>
      </c>
      <c r="J387" s="27" t="str">
        <f>IFERROR(HLOOKUP(Таблица5[[#Headers],[Цена КазНИИСА]],'WV 4.0'!$A:$N,ROW('WV 4.0'!376:376),0),"")</f>
        <v/>
      </c>
      <c r="K387" s="27" t="str">
        <f>IFERROR(HLOOKUP(Таблица5[[#Headers],[Сумма КазНИИСА]],'WV 4.0'!$A:$N,ROW('WV 4.0'!376:376),0),"")</f>
        <v/>
      </c>
      <c r="L387" s="27">
        <f>IFERROR(HLOOKUP(Таблица5[[#Headers],[Код КазНИИСА]],'WV 4.0'!$A:$N,ROW('WV 4.0'!376:376),0),"")</f>
        <v>0</v>
      </c>
      <c r="M387" s="27" t="str">
        <f>IFERROR(HLOOKUP(Таблица5[[#Headers],[РРЦ в тнг]],'WV 4.0'!$A:$N,ROW('WV 4.0'!376:376),0),"")</f>
        <v/>
      </c>
      <c r="N387" s="27" t="str">
        <f>IFERROR(HLOOKUP(Таблица5[[#Headers],[Сумма РРЦ]],'WV 4.0'!$A:$N,ROW('WV 4.0'!376:376),0),"")</f>
        <v/>
      </c>
    </row>
    <row r="388" spans="1:14" x14ac:dyDescent="0.25">
      <c r="A388" s="29">
        <f>IFERROR('WV 4.0'!A377, " ")</f>
        <v>0</v>
      </c>
      <c r="B388" s="29">
        <f>IFERROR('WV 4.0'!B377, " ")</f>
        <v>0</v>
      </c>
      <c r="C388" s="29">
        <f>IFERROR('WV 4.0'!C377, " ")</f>
        <v>0</v>
      </c>
      <c r="D388" s="29">
        <f>IFERROR('WV 4.0'!D377, " ")</f>
        <v>0</v>
      </c>
      <c r="E388" s="29">
        <f>IFERROR('WV 4.0'!E377, " ")</f>
        <v>0</v>
      </c>
      <c r="F388" s="27">
        <f>IFERROR(ROUND(HLOOKUP(Таблица5[[#Headers],[Цена КП]],'WV 4.0'!$A:$N,ROW('WV 4.0'!377:377),0),0),"")</f>
        <v>0</v>
      </c>
      <c r="G388" s="27">
        <f>IFERROR(Таблица5[[#This Row],[Цена КП]]*Таблица5[[#This Row],[Кол-во]],"")</f>
        <v>0</v>
      </c>
      <c r="H388" s="42">
        <f>IFERROR(HLOOKUP(Таблица5[[#Headers],[Комментарии]],'WV 4.0'!$A:$N,ROW('WV 4.0'!377:377),0),"")</f>
        <v>0</v>
      </c>
      <c r="I388" s="42">
        <f>IFERROR(HLOOKUP(Таблица5[[#Headers],[Срок поставки]],'WV 4.0'!$A:$N,ROW('WV 4.0'!377:377),0),"")</f>
        <v>0</v>
      </c>
      <c r="J388" s="27" t="str">
        <f>IFERROR(HLOOKUP(Таблица5[[#Headers],[Цена КазНИИСА]],'WV 4.0'!$A:$N,ROW('WV 4.0'!377:377),0),"")</f>
        <v/>
      </c>
      <c r="K388" s="27" t="str">
        <f>IFERROR(HLOOKUP(Таблица5[[#Headers],[Сумма КазНИИСА]],'WV 4.0'!$A:$N,ROW('WV 4.0'!377:377),0),"")</f>
        <v/>
      </c>
      <c r="L388" s="27">
        <f>IFERROR(HLOOKUP(Таблица5[[#Headers],[Код КазНИИСА]],'WV 4.0'!$A:$N,ROW('WV 4.0'!377:377),0),"")</f>
        <v>0</v>
      </c>
      <c r="M388" s="27" t="str">
        <f>IFERROR(HLOOKUP(Таблица5[[#Headers],[РРЦ в тнг]],'WV 4.0'!$A:$N,ROW('WV 4.0'!377:377),0),"")</f>
        <v/>
      </c>
      <c r="N388" s="27" t="str">
        <f>IFERROR(HLOOKUP(Таблица5[[#Headers],[Сумма РРЦ]],'WV 4.0'!$A:$N,ROW('WV 4.0'!377:377),0),"")</f>
        <v/>
      </c>
    </row>
    <row r="389" spans="1:14" x14ac:dyDescent="0.25">
      <c r="A389" s="29">
        <f>IFERROR('WV 4.0'!A378, " ")</f>
        <v>0</v>
      </c>
      <c r="B389" s="29">
        <f>IFERROR('WV 4.0'!B378, " ")</f>
        <v>0</v>
      </c>
      <c r="C389" s="29">
        <f>IFERROR('WV 4.0'!C378, " ")</f>
        <v>0</v>
      </c>
      <c r="D389" s="29">
        <f>IFERROR('WV 4.0'!D378, " ")</f>
        <v>0</v>
      </c>
      <c r="E389" s="29">
        <f>IFERROR('WV 4.0'!E378, " ")</f>
        <v>0</v>
      </c>
      <c r="F389" s="27">
        <f>IFERROR(ROUND(HLOOKUP(Таблица5[[#Headers],[Цена КП]],'WV 4.0'!$A:$N,ROW('WV 4.0'!378:378),0),0),"")</f>
        <v>0</v>
      </c>
      <c r="G389" s="27">
        <f>IFERROR(Таблица5[[#This Row],[Цена КП]]*Таблица5[[#This Row],[Кол-во]],"")</f>
        <v>0</v>
      </c>
      <c r="H389" s="42">
        <f>IFERROR(HLOOKUP(Таблица5[[#Headers],[Комментарии]],'WV 4.0'!$A:$N,ROW('WV 4.0'!378:378),0),"")</f>
        <v>0</v>
      </c>
      <c r="I389" s="42">
        <f>IFERROR(HLOOKUP(Таблица5[[#Headers],[Срок поставки]],'WV 4.0'!$A:$N,ROW('WV 4.0'!378:378),0),"")</f>
        <v>0</v>
      </c>
      <c r="J389" s="27" t="str">
        <f>IFERROR(HLOOKUP(Таблица5[[#Headers],[Цена КазНИИСА]],'WV 4.0'!$A:$N,ROW('WV 4.0'!378:378),0),"")</f>
        <v/>
      </c>
      <c r="K389" s="27" t="str">
        <f>IFERROR(HLOOKUP(Таблица5[[#Headers],[Сумма КазНИИСА]],'WV 4.0'!$A:$N,ROW('WV 4.0'!378:378),0),"")</f>
        <v/>
      </c>
      <c r="L389" s="27">
        <f>IFERROR(HLOOKUP(Таблица5[[#Headers],[Код КазНИИСА]],'WV 4.0'!$A:$N,ROW('WV 4.0'!378:378),0),"")</f>
        <v>0</v>
      </c>
      <c r="M389" s="27" t="str">
        <f>IFERROR(HLOOKUP(Таблица5[[#Headers],[РРЦ в тнг]],'WV 4.0'!$A:$N,ROW('WV 4.0'!378:378),0),"")</f>
        <v/>
      </c>
      <c r="N389" s="27" t="str">
        <f>IFERROR(HLOOKUP(Таблица5[[#Headers],[Сумма РРЦ]],'WV 4.0'!$A:$N,ROW('WV 4.0'!378:378),0),"")</f>
        <v/>
      </c>
    </row>
    <row r="390" spans="1:14" x14ac:dyDescent="0.25">
      <c r="A390" s="29">
        <f>IFERROR('WV 4.0'!A379, " ")</f>
        <v>0</v>
      </c>
      <c r="B390" s="29">
        <f>IFERROR('WV 4.0'!B379, " ")</f>
        <v>0</v>
      </c>
      <c r="C390" s="29">
        <f>IFERROR('WV 4.0'!C379, " ")</f>
        <v>0</v>
      </c>
      <c r="D390" s="29">
        <f>IFERROR('WV 4.0'!D379, " ")</f>
        <v>0</v>
      </c>
      <c r="E390" s="29">
        <f>IFERROR('WV 4.0'!E379, " ")</f>
        <v>0</v>
      </c>
      <c r="F390" s="27">
        <f>IFERROR(ROUND(HLOOKUP(Таблица5[[#Headers],[Цена КП]],'WV 4.0'!$A:$N,ROW('WV 4.0'!379:379),0),0),"")</f>
        <v>0</v>
      </c>
      <c r="G390" s="27">
        <f>IFERROR(Таблица5[[#This Row],[Цена КП]]*Таблица5[[#This Row],[Кол-во]],"")</f>
        <v>0</v>
      </c>
      <c r="H390" s="42">
        <f>IFERROR(HLOOKUP(Таблица5[[#Headers],[Комментарии]],'WV 4.0'!$A:$N,ROW('WV 4.0'!379:379),0),"")</f>
        <v>0</v>
      </c>
      <c r="I390" s="42">
        <f>IFERROR(HLOOKUP(Таблица5[[#Headers],[Срок поставки]],'WV 4.0'!$A:$N,ROW('WV 4.0'!379:379),0),"")</f>
        <v>0</v>
      </c>
      <c r="J390" s="27" t="str">
        <f>IFERROR(HLOOKUP(Таблица5[[#Headers],[Цена КазНИИСА]],'WV 4.0'!$A:$N,ROW('WV 4.0'!379:379),0),"")</f>
        <v/>
      </c>
      <c r="K390" s="27" t="str">
        <f>IFERROR(HLOOKUP(Таблица5[[#Headers],[Сумма КазНИИСА]],'WV 4.0'!$A:$N,ROW('WV 4.0'!379:379),0),"")</f>
        <v/>
      </c>
      <c r="L390" s="27">
        <f>IFERROR(HLOOKUP(Таблица5[[#Headers],[Код КазНИИСА]],'WV 4.0'!$A:$N,ROW('WV 4.0'!379:379),0),"")</f>
        <v>0</v>
      </c>
      <c r="M390" s="27" t="str">
        <f>IFERROR(HLOOKUP(Таблица5[[#Headers],[РРЦ в тнг]],'WV 4.0'!$A:$N,ROW('WV 4.0'!379:379),0),"")</f>
        <v/>
      </c>
      <c r="N390" s="27" t="str">
        <f>IFERROR(HLOOKUP(Таблица5[[#Headers],[Сумма РРЦ]],'WV 4.0'!$A:$N,ROW('WV 4.0'!379:379),0),"")</f>
        <v/>
      </c>
    </row>
    <row r="391" spans="1:14" x14ac:dyDescent="0.25">
      <c r="A391" s="29">
        <f>IFERROR('WV 4.0'!A380, " ")</f>
        <v>0</v>
      </c>
      <c r="B391" s="29">
        <f>IFERROR('WV 4.0'!B380, " ")</f>
        <v>0</v>
      </c>
      <c r="C391" s="29">
        <f>IFERROR('WV 4.0'!C380, " ")</f>
        <v>0</v>
      </c>
      <c r="D391" s="29">
        <f>IFERROR('WV 4.0'!D380, " ")</f>
        <v>0</v>
      </c>
      <c r="E391" s="29">
        <f>IFERROR('WV 4.0'!E380, " ")</f>
        <v>0</v>
      </c>
      <c r="F391" s="27">
        <f>IFERROR(ROUND(HLOOKUP(Таблица5[[#Headers],[Цена КП]],'WV 4.0'!$A:$N,ROW('WV 4.0'!380:380),0),0),"")</f>
        <v>0</v>
      </c>
      <c r="G391" s="27">
        <f>IFERROR(Таблица5[[#This Row],[Цена КП]]*Таблица5[[#This Row],[Кол-во]],"")</f>
        <v>0</v>
      </c>
      <c r="H391" s="42">
        <f>IFERROR(HLOOKUP(Таблица5[[#Headers],[Комментарии]],'WV 4.0'!$A:$N,ROW('WV 4.0'!380:380),0),"")</f>
        <v>0</v>
      </c>
      <c r="I391" s="42">
        <f>IFERROR(HLOOKUP(Таблица5[[#Headers],[Срок поставки]],'WV 4.0'!$A:$N,ROW('WV 4.0'!380:380),0),"")</f>
        <v>0</v>
      </c>
      <c r="J391" s="27" t="str">
        <f>IFERROR(HLOOKUP(Таблица5[[#Headers],[Цена КазНИИСА]],'WV 4.0'!$A:$N,ROW('WV 4.0'!380:380),0),"")</f>
        <v/>
      </c>
      <c r="K391" s="27" t="str">
        <f>IFERROR(HLOOKUP(Таблица5[[#Headers],[Сумма КазНИИСА]],'WV 4.0'!$A:$N,ROW('WV 4.0'!380:380),0),"")</f>
        <v/>
      </c>
      <c r="L391" s="27">
        <f>IFERROR(HLOOKUP(Таблица5[[#Headers],[Код КазНИИСА]],'WV 4.0'!$A:$N,ROW('WV 4.0'!380:380),0),"")</f>
        <v>0</v>
      </c>
      <c r="M391" s="27" t="str">
        <f>IFERROR(HLOOKUP(Таблица5[[#Headers],[РРЦ в тнг]],'WV 4.0'!$A:$N,ROW('WV 4.0'!380:380),0),"")</f>
        <v/>
      </c>
      <c r="N391" s="27" t="str">
        <f>IFERROR(HLOOKUP(Таблица5[[#Headers],[Сумма РРЦ]],'WV 4.0'!$A:$N,ROW('WV 4.0'!380:380),0),"")</f>
        <v/>
      </c>
    </row>
    <row r="392" spans="1:14" x14ac:dyDescent="0.25">
      <c r="A392" s="29">
        <f>IFERROR('WV 4.0'!A381, " ")</f>
        <v>0</v>
      </c>
      <c r="B392" s="29">
        <f>IFERROR('WV 4.0'!B381, " ")</f>
        <v>0</v>
      </c>
      <c r="C392" s="29">
        <f>IFERROR('WV 4.0'!C381, " ")</f>
        <v>0</v>
      </c>
      <c r="D392" s="29">
        <f>IFERROR('WV 4.0'!D381, " ")</f>
        <v>0</v>
      </c>
      <c r="E392" s="29">
        <f>IFERROR('WV 4.0'!E381, " ")</f>
        <v>0</v>
      </c>
      <c r="F392" s="27">
        <f>IFERROR(ROUND(HLOOKUP(Таблица5[[#Headers],[Цена КП]],'WV 4.0'!$A:$N,ROW('WV 4.0'!381:381),0),0),"")</f>
        <v>0</v>
      </c>
      <c r="G392" s="27">
        <f>IFERROR(Таблица5[[#This Row],[Цена КП]]*Таблица5[[#This Row],[Кол-во]],"")</f>
        <v>0</v>
      </c>
      <c r="H392" s="42">
        <f>IFERROR(HLOOKUP(Таблица5[[#Headers],[Комментарии]],'WV 4.0'!$A:$N,ROW('WV 4.0'!381:381),0),"")</f>
        <v>0</v>
      </c>
      <c r="I392" s="42">
        <f>IFERROR(HLOOKUP(Таблица5[[#Headers],[Срок поставки]],'WV 4.0'!$A:$N,ROW('WV 4.0'!381:381),0),"")</f>
        <v>0</v>
      </c>
      <c r="J392" s="27" t="str">
        <f>IFERROR(HLOOKUP(Таблица5[[#Headers],[Цена КазНИИСА]],'WV 4.0'!$A:$N,ROW('WV 4.0'!381:381),0),"")</f>
        <v/>
      </c>
      <c r="K392" s="27" t="str">
        <f>IFERROR(HLOOKUP(Таблица5[[#Headers],[Сумма КазНИИСА]],'WV 4.0'!$A:$N,ROW('WV 4.0'!381:381),0),"")</f>
        <v/>
      </c>
      <c r="L392" s="27">
        <f>IFERROR(HLOOKUP(Таблица5[[#Headers],[Код КазНИИСА]],'WV 4.0'!$A:$N,ROW('WV 4.0'!381:381),0),"")</f>
        <v>0</v>
      </c>
      <c r="M392" s="27" t="str">
        <f>IFERROR(HLOOKUP(Таблица5[[#Headers],[РРЦ в тнг]],'WV 4.0'!$A:$N,ROW('WV 4.0'!381:381),0),"")</f>
        <v/>
      </c>
      <c r="N392" s="27" t="str">
        <f>IFERROR(HLOOKUP(Таблица5[[#Headers],[Сумма РРЦ]],'WV 4.0'!$A:$N,ROW('WV 4.0'!381:381),0),"")</f>
        <v/>
      </c>
    </row>
    <row r="393" spans="1:14" x14ac:dyDescent="0.25">
      <c r="A393" s="29">
        <f>IFERROR('WV 4.0'!A382, " ")</f>
        <v>0</v>
      </c>
      <c r="B393" s="29">
        <f>IFERROR('WV 4.0'!B382, " ")</f>
        <v>0</v>
      </c>
      <c r="C393" s="29">
        <f>IFERROR('WV 4.0'!C382, " ")</f>
        <v>0</v>
      </c>
      <c r="D393" s="29">
        <f>IFERROR('WV 4.0'!D382, " ")</f>
        <v>0</v>
      </c>
      <c r="E393" s="29">
        <f>IFERROR('WV 4.0'!E382, " ")</f>
        <v>0</v>
      </c>
      <c r="F393" s="27">
        <f>IFERROR(ROUND(HLOOKUP(Таблица5[[#Headers],[Цена КП]],'WV 4.0'!$A:$N,ROW('WV 4.0'!382:382),0),0),"")</f>
        <v>0</v>
      </c>
      <c r="G393" s="27">
        <f>IFERROR(Таблица5[[#This Row],[Цена КП]]*Таблица5[[#This Row],[Кол-во]],"")</f>
        <v>0</v>
      </c>
      <c r="H393" s="42">
        <f>IFERROR(HLOOKUP(Таблица5[[#Headers],[Комментарии]],'WV 4.0'!$A:$N,ROW('WV 4.0'!382:382),0),"")</f>
        <v>0</v>
      </c>
      <c r="I393" s="42">
        <f>IFERROR(HLOOKUP(Таблица5[[#Headers],[Срок поставки]],'WV 4.0'!$A:$N,ROW('WV 4.0'!382:382),0),"")</f>
        <v>0</v>
      </c>
      <c r="J393" s="27" t="str">
        <f>IFERROR(HLOOKUP(Таблица5[[#Headers],[Цена КазНИИСА]],'WV 4.0'!$A:$N,ROW('WV 4.0'!382:382),0),"")</f>
        <v/>
      </c>
      <c r="K393" s="27" t="str">
        <f>IFERROR(HLOOKUP(Таблица5[[#Headers],[Сумма КазНИИСА]],'WV 4.0'!$A:$N,ROW('WV 4.0'!382:382),0),"")</f>
        <v/>
      </c>
      <c r="L393" s="27">
        <f>IFERROR(HLOOKUP(Таблица5[[#Headers],[Код КазНИИСА]],'WV 4.0'!$A:$N,ROW('WV 4.0'!382:382),0),"")</f>
        <v>0</v>
      </c>
      <c r="M393" s="27" t="str">
        <f>IFERROR(HLOOKUP(Таблица5[[#Headers],[РРЦ в тнг]],'WV 4.0'!$A:$N,ROW('WV 4.0'!382:382),0),"")</f>
        <v/>
      </c>
      <c r="N393" s="27" t="str">
        <f>IFERROR(HLOOKUP(Таблица5[[#Headers],[Сумма РРЦ]],'WV 4.0'!$A:$N,ROW('WV 4.0'!382:382),0),"")</f>
        <v/>
      </c>
    </row>
    <row r="394" spans="1:14" x14ac:dyDescent="0.25">
      <c r="A394" s="29">
        <f>IFERROR('WV 4.0'!A383, " ")</f>
        <v>0</v>
      </c>
      <c r="B394" s="29">
        <f>IFERROR('WV 4.0'!B383, " ")</f>
        <v>0</v>
      </c>
      <c r="C394" s="29">
        <f>IFERROR('WV 4.0'!C383, " ")</f>
        <v>0</v>
      </c>
      <c r="D394" s="29">
        <f>IFERROR('WV 4.0'!D383, " ")</f>
        <v>0</v>
      </c>
      <c r="E394" s="29">
        <f>IFERROR('WV 4.0'!E383, " ")</f>
        <v>0</v>
      </c>
      <c r="F394" s="27">
        <f>IFERROR(ROUND(HLOOKUP(Таблица5[[#Headers],[Цена КП]],'WV 4.0'!$A:$N,ROW('WV 4.0'!383:383),0),0),"")</f>
        <v>0</v>
      </c>
      <c r="G394" s="27">
        <f>IFERROR(Таблица5[[#This Row],[Цена КП]]*Таблица5[[#This Row],[Кол-во]],"")</f>
        <v>0</v>
      </c>
      <c r="H394" s="42">
        <f>IFERROR(HLOOKUP(Таблица5[[#Headers],[Комментарии]],'WV 4.0'!$A:$N,ROW('WV 4.0'!383:383),0),"")</f>
        <v>0</v>
      </c>
      <c r="I394" s="42">
        <f>IFERROR(HLOOKUP(Таблица5[[#Headers],[Срок поставки]],'WV 4.0'!$A:$N,ROW('WV 4.0'!383:383),0),"")</f>
        <v>0</v>
      </c>
      <c r="J394" s="27" t="str">
        <f>IFERROR(HLOOKUP(Таблица5[[#Headers],[Цена КазНИИСА]],'WV 4.0'!$A:$N,ROW('WV 4.0'!383:383),0),"")</f>
        <v/>
      </c>
      <c r="K394" s="27" t="str">
        <f>IFERROR(HLOOKUP(Таблица5[[#Headers],[Сумма КазНИИСА]],'WV 4.0'!$A:$N,ROW('WV 4.0'!383:383),0),"")</f>
        <v/>
      </c>
      <c r="L394" s="27">
        <f>IFERROR(HLOOKUP(Таблица5[[#Headers],[Код КазНИИСА]],'WV 4.0'!$A:$N,ROW('WV 4.0'!383:383),0),"")</f>
        <v>0</v>
      </c>
      <c r="M394" s="27" t="str">
        <f>IFERROR(HLOOKUP(Таблица5[[#Headers],[РРЦ в тнг]],'WV 4.0'!$A:$N,ROW('WV 4.0'!383:383),0),"")</f>
        <v/>
      </c>
      <c r="N394" s="27" t="str">
        <f>IFERROR(HLOOKUP(Таблица5[[#Headers],[Сумма РРЦ]],'WV 4.0'!$A:$N,ROW('WV 4.0'!383:383),0),"")</f>
        <v/>
      </c>
    </row>
    <row r="395" spans="1:14" x14ac:dyDescent="0.25">
      <c r="A395" s="29">
        <f>IFERROR('WV 4.0'!A384, " ")</f>
        <v>0</v>
      </c>
      <c r="B395" s="29">
        <f>IFERROR('WV 4.0'!B384, " ")</f>
        <v>0</v>
      </c>
      <c r="C395" s="29">
        <f>IFERROR('WV 4.0'!C384, " ")</f>
        <v>0</v>
      </c>
      <c r="D395" s="29">
        <f>IFERROR('WV 4.0'!D384, " ")</f>
        <v>0</v>
      </c>
      <c r="E395" s="29">
        <f>IFERROR('WV 4.0'!E384, " ")</f>
        <v>0</v>
      </c>
      <c r="F395" s="27">
        <f>IFERROR(ROUND(HLOOKUP(Таблица5[[#Headers],[Цена КП]],'WV 4.0'!$A:$N,ROW('WV 4.0'!384:384),0),0),"")</f>
        <v>0</v>
      </c>
      <c r="G395" s="27">
        <f>IFERROR(Таблица5[[#This Row],[Цена КП]]*Таблица5[[#This Row],[Кол-во]],"")</f>
        <v>0</v>
      </c>
      <c r="H395" s="42">
        <f>IFERROR(HLOOKUP(Таблица5[[#Headers],[Комментарии]],'WV 4.0'!$A:$N,ROW('WV 4.0'!384:384),0),"")</f>
        <v>0</v>
      </c>
      <c r="I395" s="42">
        <f>IFERROR(HLOOKUP(Таблица5[[#Headers],[Срок поставки]],'WV 4.0'!$A:$N,ROW('WV 4.0'!384:384),0),"")</f>
        <v>0</v>
      </c>
      <c r="J395" s="27" t="str">
        <f>IFERROR(HLOOKUP(Таблица5[[#Headers],[Цена КазНИИСА]],'WV 4.0'!$A:$N,ROW('WV 4.0'!384:384),0),"")</f>
        <v/>
      </c>
      <c r="K395" s="27" t="str">
        <f>IFERROR(HLOOKUP(Таблица5[[#Headers],[Сумма КазНИИСА]],'WV 4.0'!$A:$N,ROW('WV 4.0'!384:384),0),"")</f>
        <v/>
      </c>
      <c r="L395" s="27">
        <f>IFERROR(HLOOKUP(Таблица5[[#Headers],[Код КазНИИСА]],'WV 4.0'!$A:$N,ROW('WV 4.0'!384:384),0),"")</f>
        <v>0</v>
      </c>
      <c r="M395" s="27" t="str">
        <f>IFERROR(HLOOKUP(Таблица5[[#Headers],[РРЦ в тнг]],'WV 4.0'!$A:$N,ROW('WV 4.0'!384:384),0),"")</f>
        <v/>
      </c>
      <c r="N395" s="27" t="str">
        <f>IFERROR(HLOOKUP(Таблица5[[#Headers],[Сумма РРЦ]],'WV 4.0'!$A:$N,ROW('WV 4.0'!384:384),0),"")</f>
        <v/>
      </c>
    </row>
    <row r="396" spans="1:14" x14ac:dyDescent="0.25">
      <c r="A396" s="29">
        <f>IFERROR('WV 4.0'!A385, " ")</f>
        <v>0</v>
      </c>
      <c r="B396" s="29">
        <f>IFERROR('WV 4.0'!B385, " ")</f>
        <v>0</v>
      </c>
      <c r="C396" s="29">
        <f>IFERROR('WV 4.0'!C385, " ")</f>
        <v>0</v>
      </c>
      <c r="D396" s="29">
        <f>IFERROR('WV 4.0'!D385, " ")</f>
        <v>0</v>
      </c>
      <c r="E396" s="29">
        <f>IFERROR('WV 4.0'!E385, " ")</f>
        <v>0</v>
      </c>
      <c r="F396" s="27">
        <f>IFERROR(ROUND(HLOOKUP(Таблица5[[#Headers],[Цена КП]],'WV 4.0'!$A:$N,ROW('WV 4.0'!385:385),0),0),"")</f>
        <v>0</v>
      </c>
      <c r="G396" s="27">
        <f>IFERROR(Таблица5[[#This Row],[Цена КП]]*Таблица5[[#This Row],[Кол-во]],"")</f>
        <v>0</v>
      </c>
      <c r="H396" s="42">
        <f>IFERROR(HLOOKUP(Таблица5[[#Headers],[Комментарии]],'WV 4.0'!$A:$N,ROW('WV 4.0'!385:385),0),"")</f>
        <v>0</v>
      </c>
      <c r="I396" s="42">
        <f>IFERROR(HLOOKUP(Таблица5[[#Headers],[Срок поставки]],'WV 4.0'!$A:$N,ROW('WV 4.0'!385:385),0),"")</f>
        <v>0</v>
      </c>
      <c r="J396" s="27" t="str">
        <f>IFERROR(HLOOKUP(Таблица5[[#Headers],[Цена КазНИИСА]],'WV 4.0'!$A:$N,ROW('WV 4.0'!385:385),0),"")</f>
        <v/>
      </c>
      <c r="K396" s="27" t="str">
        <f>IFERROR(HLOOKUP(Таблица5[[#Headers],[Сумма КазНИИСА]],'WV 4.0'!$A:$N,ROW('WV 4.0'!385:385),0),"")</f>
        <v/>
      </c>
      <c r="L396" s="27">
        <f>IFERROR(HLOOKUP(Таблица5[[#Headers],[Код КазНИИСА]],'WV 4.0'!$A:$N,ROW('WV 4.0'!385:385),0),"")</f>
        <v>0</v>
      </c>
      <c r="M396" s="27" t="str">
        <f>IFERROR(HLOOKUP(Таблица5[[#Headers],[РРЦ в тнг]],'WV 4.0'!$A:$N,ROW('WV 4.0'!385:385),0),"")</f>
        <v/>
      </c>
      <c r="N396" s="27" t="str">
        <f>IFERROR(HLOOKUP(Таблица5[[#Headers],[Сумма РРЦ]],'WV 4.0'!$A:$N,ROW('WV 4.0'!385:385),0),"")</f>
        <v/>
      </c>
    </row>
    <row r="397" spans="1:14" x14ac:dyDescent="0.25">
      <c r="A397" s="29">
        <f>IFERROR('WV 4.0'!A386, " ")</f>
        <v>0</v>
      </c>
      <c r="B397" s="29">
        <f>IFERROR('WV 4.0'!B386, " ")</f>
        <v>0</v>
      </c>
      <c r="C397" s="29">
        <f>IFERROR('WV 4.0'!C386, " ")</f>
        <v>0</v>
      </c>
      <c r="D397" s="29">
        <f>IFERROR('WV 4.0'!D386, " ")</f>
        <v>0</v>
      </c>
      <c r="E397" s="29">
        <f>IFERROR('WV 4.0'!E386, " ")</f>
        <v>0</v>
      </c>
      <c r="F397" s="27">
        <f>IFERROR(ROUND(HLOOKUP(Таблица5[[#Headers],[Цена КП]],'WV 4.0'!$A:$N,ROW('WV 4.0'!386:386),0),0),"")</f>
        <v>0</v>
      </c>
      <c r="G397" s="27">
        <f>IFERROR(Таблица5[[#This Row],[Цена КП]]*Таблица5[[#This Row],[Кол-во]],"")</f>
        <v>0</v>
      </c>
      <c r="H397" s="42">
        <f>IFERROR(HLOOKUP(Таблица5[[#Headers],[Комментарии]],'WV 4.0'!$A:$N,ROW('WV 4.0'!386:386),0),"")</f>
        <v>0</v>
      </c>
      <c r="I397" s="42">
        <f>IFERROR(HLOOKUP(Таблица5[[#Headers],[Срок поставки]],'WV 4.0'!$A:$N,ROW('WV 4.0'!386:386),0),"")</f>
        <v>0</v>
      </c>
      <c r="J397" s="27" t="str">
        <f>IFERROR(HLOOKUP(Таблица5[[#Headers],[Цена КазНИИСА]],'WV 4.0'!$A:$N,ROW('WV 4.0'!386:386),0),"")</f>
        <v/>
      </c>
      <c r="K397" s="27" t="str">
        <f>IFERROR(HLOOKUP(Таблица5[[#Headers],[Сумма КазНИИСА]],'WV 4.0'!$A:$N,ROW('WV 4.0'!386:386),0),"")</f>
        <v/>
      </c>
      <c r="L397" s="27">
        <f>IFERROR(HLOOKUP(Таблица5[[#Headers],[Код КазНИИСА]],'WV 4.0'!$A:$N,ROW('WV 4.0'!386:386),0),"")</f>
        <v>0</v>
      </c>
      <c r="M397" s="27" t="str">
        <f>IFERROR(HLOOKUP(Таблица5[[#Headers],[РРЦ в тнг]],'WV 4.0'!$A:$N,ROW('WV 4.0'!386:386),0),"")</f>
        <v/>
      </c>
      <c r="N397" s="27" t="str">
        <f>IFERROR(HLOOKUP(Таблица5[[#Headers],[Сумма РРЦ]],'WV 4.0'!$A:$N,ROW('WV 4.0'!386:386),0),"")</f>
        <v/>
      </c>
    </row>
    <row r="398" spans="1:14" x14ac:dyDescent="0.25">
      <c r="A398" s="29">
        <f>IFERROR('WV 4.0'!A387, " ")</f>
        <v>0</v>
      </c>
      <c r="B398" s="29">
        <f>IFERROR('WV 4.0'!B387, " ")</f>
        <v>0</v>
      </c>
      <c r="C398" s="29">
        <f>IFERROR('WV 4.0'!C387, " ")</f>
        <v>0</v>
      </c>
      <c r="D398" s="29">
        <f>IFERROR('WV 4.0'!D387, " ")</f>
        <v>0</v>
      </c>
      <c r="E398" s="29">
        <f>IFERROR('WV 4.0'!E387, " ")</f>
        <v>0</v>
      </c>
      <c r="F398" s="27">
        <f>IFERROR(ROUND(HLOOKUP(Таблица5[[#Headers],[Цена КП]],'WV 4.0'!$A:$N,ROW('WV 4.0'!387:387),0),0),"")</f>
        <v>0</v>
      </c>
      <c r="G398" s="27">
        <f>IFERROR(Таблица5[[#This Row],[Цена КП]]*Таблица5[[#This Row],[Кол-во]],"")</f>
        <v>0</v>
      </c>
      <c r="H398" s="42">
        <f>IFERROR(HLOOKUP(Таблица5[[#Headers],[Комментарии]],'WV 4.0'!$A:$N,ROW('WV 4.0'!387:387),0),"")</f>
        <v>0</v>
      </c>
      <c r="I398" s="42">
        <f>IFERROR(HLOOKUP(Таблица5[[#Headers],[Срок поставки]],'WV 4.0'!$A:$N,ROW('WV 4.0'!387:387),0),"")</f>
        <v>0</v>
      </c>
      <c r="J398" s="27" t="str">
        <f>IFERROR(HLOOKUP(Таблица5[[#Headers],[Цена КазНИИСА]],'WV 4.0'!$A:$N,ROW('WV 4.0'!387:387),0),"")</f>
        <v/>
      </c>
      <c r="K398" s="27" t="str">
        <f>IFERROR(HLOOKUP(Таблица5[[#Headers],[Сумма КазНИИСА]],'WV 4.0'!$A:$N,ROW('WV 4.0'!387:387),0),"")</f>
        <v/>
      </c>
      <c r="L398" s="27">
        <f>IFERROR(HLOOKUP(Таблица5[[#Headers],[Код КазНИИСА]],'WV 4.0'!$A:$N,ROW('WV 4.0'!387:387),0),"")</f>
        <v>0</v>
      </c>
      <c r="M398" s="27" t="str">
        <f>IFERROR(HLOOKUP(Таблица5[[#Headers],[РРЦ в тнг]],'WV 4.0'!$A:$N,ROW('WV 4.0'!387:387),0),"")</f>
        <v/>
      </c>
      <c r="N398" s="27" t="str">
        <f>IFERROR(HLOOKUP(Таблица5[[#Headers],[Сумма РРЦ]],'WV 4.0'!$A:$N,ROW('WV 4.0'!387:387),0),"")</f>
        <v/>
      </c>
    </row>
    <row r="399" spans="1:14" x14ac:dyDescent="0.25">
      <c r="A399" s="29">
        <f>IFERROR('WV 4.0'!A388, " ")</f>
        <v>0</v>
      </c>
      <c r="B399" s="29">
        <f>IFERROR('WV 4.0'!B388, " ")</f>
        <v>0</v>
      </c>
      <c r="C399" s="29">
        <f>IFERROR('WV 4.0'!C388, " ")</f>
        <v>0</v>
      </c>
      <c r="D399" s="29">
        <f>IFERROR('WV 4.0'!D388, " ")</f>
        <v>0</v>
      </c>
      <c r="E399" s="29">
        <f>IFERROR('WV 4.0'!E388, " ")</f>
        <v>0</v>
      </c>
      <c r="F399" s="27">
        <f>IFERROR(ROUND(HLOOKUP(Таблица5[[#Headers],[Цена КП]],'WV 4.0'!$A:$N,ROW('WV 4.0'!388:388),0),0),"")</f>
        <v>0</v>
      </c>
      <c r="G399" s="27">
        <f>IFERROR(Таблица5[[#This Row],[Цена КП]]*Таблица5[[#This Row],[Кол-во]],"")</f>
        <v>0</v>
      </c>
      <c r="H399" s="42">
        <f>IFERROR(HLOOKUP(Таблица5[[#Headers],[Комментарии]],'WV 4.0'!$A:$N,ROW('WV 4.0'!388:388),0),"")</f>
        <v>0</v>
      </c>
      <c r="I399" s="42">
        <f>IFERROR(HLOOKUP(Таблица5[[#Headers],[Срок поставки]],'WV 4.0'!$A:$N,ROW('WV 4.0'!388:388),0),"")</f>
        <v>0</v>
      </c>
      <c r="J399" s="27" t="str">
        <f>IFERROR(HLOOKUP(Таблица5[[#Headers],[Цена КазНИИСА]],'WV 4.0'!$A:$N,ROW('WV 4.0'!388:388),0),"")</f>
        <v/>
      </c>
      <c r="K399" s="27" t="str">
        <f>IFERROR(HLOOKUP(Таблица5[[#Headers],[Сумма КазНИИСА]],'WV 4.0'!$A:$N,ROW('WV 4.0'!388:388),0),"")</f>
        <v/>
      </c>
      <c r="L399" s="27">
        <f>IFERROR(HLOOKUP(Таблица5[[#Headers],[Код КазНИИСА]],'WV 4.0'!$A:$N,ROW('WV 4.0'!388:388),0),"")</f>
        <v>0</v>
      </c>
      <c r="M399" s="27" t="str">
        <f>IFERROR(HLOOKUP(Таблица5[[#Headers],[РРЦ в тнг]],'WV 4.0'!$A:$N,ROW('WV 4.0'!388:388),0),"")</f>
        <v/>
      </c>
      <c r="N399" s="27" t="str">
        <f>IFERROR(HLOOKUP(Таблица5[[#Headers],[Сумма РРЦ]],'WV 4.0'!$A:$N,ROW('WV 4.0'!388:388),0),"")</f>
        <v/>
      </c>
    </row>
    <row r="400" spans="1:14" x14ac:dyDescent="0.25">
      <c r="A400" s="29">
        <f>IFERROR('WV 4.0'!A389, " ")</f>
        <v>0</v>
      </c>
      <c r="B400" s="29">
        <f>IFERROR('WV 4.0'!B389, " ")</f>
        <v>0</v>
      </c>
      <c r="C400" s="29">
        <f>IFERROR('WV 4.0'!C389, " ")</f>
        <v>0</v>
      </c>
      <c r="D400" s="29">
        <f>IFERROR('WV 4.0'!D389, " ")</f>
        <v>0</v>
      </c>
      <c r="E400" s="29">
        <f>IFERROR('WV 4.0'!E389, " ")</f>
        <v>0</v>
      </c>
      <c r="F400" s="27">
        <f>IFERROR(ROUND(HLOOKUP(Таблица5[[#Headers],[Цена КП]],'WV 4.0'!$A:$N,ROW('WV 4.0'!389:389),0),0),"")</f>
        <v>0</v>
      </c>
      <c r="G400" s="27">
        <f>IFERROR(Таблица5[[#This Row],[Цена КП]]*Таблица5[[#This Row],[Кол-во]],"")</f>
        <v>0</v>
      </c>
      <c r="H400" s="42">
        <f>IFERROR(HLOOKUP(Таблица5[[#Headers],[Комментарии]],'WV 4.0'!$A:$N,ROW('WV 4.0'!389:389),0),"")</f>
        <v>0</v>
      </c>
      <c r="I400" s="42">
        <f>IFERROR(HLOOKUP(Таблица5[[#Headers],[Срок поставки]],'WV 4.0'!$A:$N,ROW('WV 4.0'!389:389),0),"")</f>
        <v>0</v>
      </c>
      <c r="J400" s="27" t="str">
        <f>IFERROR(HLOOKUP(Таблица5[[#Headers],[Цена КазНИИСА]],'WV 4.0'!$A:$N,ROW('WV 4.0'!389:389),0),"")</f>
        <v/>
      </c>
      <c r="K400" s="27" t="str">
        <f>IFERROR(HLOOKUP(Таблица5[[#Headers],[Сумма КазНИИСА]],'WV 4.0'!$A:$N,ROW('WV 4.0'!389:389),0),"")</f>
        <v/>
      </c>
      <c r="L400" s="27">
        <f>IFERROR(HLOOKUP(Таблица5[[#Headers],[Код КазНИИСА]],'WV 4.0'!$A:$N,ROW('WV 4.0'!389:389),0),"")</f>
        <v>0</v>
      </c>
      <c r="M400" s="27" t="str">
        <f>IFERROR(HLOOKUP(Таблица5[[#Headers],[РРЦ в тнг]],'WV 4.0'!$A:$N,ROW('WV 4.0'!389:389),0),"")</f>
        <v/>
      </c>
      <c r="N400" s="27" t="str">
        <f>IFERROR(HLOOKUP(Таблица5[[#Headers],[Сумма РРЦ]],'WV 4.0'!$A:$N,ROW('WV 4.0'!389:389),0),"")</f>
        <v/>
      </c>
    </row>
    <row r="401" spans="1:14" x14ac:dyDescent="0.25">
      <c r="A401" s="29">
        <f>IFERROR('WV 4.0'!A390, " ")</f>
        <v>0</v>
      </c>
      <c r="B401" s="29">
        <f>IFERROR('WV 4.0'!B390, " ")</f>
        <v>0</v>
      </c>
      <c r="C401" s="29">
        <f>IFERROR('WV 4.0'!C390, " ")</f>
        <v>0</v>
      </c>
      <c r="D401" s="29">
        <f>IFERROR('WV 4.0'!D390, " ")</f>
        <v>0</v>
      </c>
      <c r="E401" s="29">
        <f>IFERROR('WV 4.0'!E390, " ")</f>
        <v>0</v>
      </c>
      <c r="F401" s="27">
        <f>IFERROR(ROUND(HLOOKUP(Таблица5[[#Headers],[Цена КП]],'WV 4.0'!$A:$N,ROW('WV 4.0'!390:390),0),0),"")</f>
        <v>0</v>
      </c>
      <c r="G401" s="27">
        <f>IFERROR(Таблица5[[#This Row],[Цена КП]]*Таблица5[[#This Row],[Кол-во]],"")</f>
        <v>0</v>
      </c>
      <c r="H401" s="42">
        <f>IFERROR(HLOOKUP(Таблица5[[#Headers],[Комментарии]],'WV 4.0'!$A:$N,ROW('WV 4.0'!390:390),0),"")</f>
        <v>0</v>
      </c>
      <c r="I401" s="42">
        <f>IFERROR(HLOOKUP(Таблица5[[#Headers],[Срок поставки]],'WV 4.0'!$A:$N,ROW('WV 4.0'!390:390),0),"")</f>
        <v>0</v>
      </c>
      <c r="J401" s="27" t="str">
        <f>IFERROR(HLOOKUP(Таблица5[[#Headers],[Цена КазНИИСА]],'WV 4.0'!$A:$N,ROW('WV 4.0'!390:390),0),"")</f>
        <v/>
      </c>
      <c r="K401" s="27" t="str">
        <f>IFERROR(HLOOKUP(Таблица5[[#Headers],[Сумма КазНИИСА]],'WV 4.0'!$A:$N,ROW('WV 4.0'!390:390),0),"")</f>
        <v/>
      </c>
      <c r="L401" s="27">
        <f>IFERROR(HLOOKUP(Таблица5[[#Headers],[Код КазНИИСА]],'WV 4.0'!$A:$N,ROW('WV 4.0'!390:390),0),"")</f>
        <v>0</v>
      </c>
      <c r="M401" s="27" t="str">
        <f>IFERROR(HLOOKUP(Таблица5[[#Headers],[РРЦ в тнг]],'WV 4.0'!$A:$N,ROW('WV 4.0'!390:390),0),"")</f>
        <v/>
      </c>
      <c r="N401" s="27" t="str">
        <f>IFERROR(HLOOKUP(Таблица5[[#Headers],[Сумма РРЦ]],'WV 4.0'!$A:$N,ROW('WV 4.0'!390:390),0),"")</f>
        <v/>
      </c>
    </row>
    <row r="402" spans="1:14" x14ac:dyDescent="0.25">
      <c r="A402" s="29">
        <f>IFERROR('WV 4.0'!A391, " ")</f>
        <v>0</v>
      </c>
      <c r="B402" s="29">
        <f>IFERROR('WV 4.0'!B391, " ")</f>
        <v>0</v>
      </c>
      <c r="C402" s="29">
        <f>IFERROR('WV 4.0'!C391, " ")</f>
        <v>0</v>
      </c>
      <c r="D402" s="29">
        <f>IFERROR('WV 4.0'!D391, " ")</f>
        <v>0</v>
      </c>
      <c r="E402" s="29">
        <f>IFERROR('WV 4.0'!E391, " ")</f>
        <v>0</v>
      </c>
      <c r="F402" s="27">
        <f>IFERROR(ROUND(HLOOKUP(Таблица5[[#Headers],[Цена КП]],'WV 4.0'!$A:$N,ROW('WV 4.0'!391:391),0),0),"")</f>
        <v>0</v>
      </c>
      <c r="G402" s="27">
        <f>IFERROR(Таблица5[[#This Row],[Цена КП]]*Таблица5[[#This Row],[Кол-во]],"")</f>
        <v>0</v>
      </c>
      <c r="H402" s="42">
        <f>IFERROR(HLOOKUP(Таблица5[[#Headers],[Комментарии]],'WV 4.0'!$A:$N,ROW('WV 4.0'!391:391),0),"")</f>
        <v>0</v>
      </c>
      <c r="I402" s="42">
        <f>IFERROR(HLOOKUP(Таблица5[[#Headers],[Срок поставки]],'WV 4.0'!$A:$N,ROW('WV 4.0'!391:391),0),"")</f>
        <v>0</v>
      </c>
      <c r="J402" s="27" t="str">
        <f>IFERROR(HLOOKUP(Таблица5[[#Headers],[Цена КазНИИСА]],'WV 4.0'!$A:$N,ROW('WV 4.0'!391:391),0),"")</f>
        <v/>
      </c>
      <c r="K402" s="27" t="str">
        <f>IFERROR(HLOOKUP(Таблица5[[#Headers],[Сумма КазНИИСА]],'WV 4.0'!$A:$N,ROW('WV 4.0'!391:391),0),"")</f>
        <v/>
      </c>
      <c r="L402" s="27">
        <f>IFERROR(HLOOKUP(Таблица5[[#Headers],[Код КазНИИСА]],'WV 4.0'!$A:$N,ROW('WV 4.0'!391:391),0),"")</f>
        <v>0</v>
      </c>
      <c r="M402" s="27" t="str">
        <f>IFERROR(HLOOKUP(Таблица5[[#Headers],[РРЦ в тнг]],'WV 4.0'!$A:$N,ROW('WV 4.0'!391:391),0),"")</f>
        <v/>
      </c>
      <c r="N402" s="27" t="str">
        <f>IFERROR(HLOOKUP(Таблица5[[#Headers],[Сумма РРЦ]],'WV 4.0'!$A:$N,ROW('WV 4.0'!391:391),0),"")</f>
        <v/>
      </c>
    </row>
    <row r="403" spans="1:14" x14ac:dyDescent="0.25">
      <c r="A403" s="29">
        <f>IFERROR('WV 4.0'!A392, " ")</f>
        <v>0</v>
      </c>
      <c r="B403" s="29">
        <f>IFERROR('WV 4.0'!B392, " ")</f>
        <v>0</v>
      </c>
      <c r="C403" s="29">
        <f>IFERROR('WV 4.0'!C392, " ")</f>
        <v>0</v>
      </c>
      <c r="D403" s="29">
        <f>IFERROR('WV 4.0'!D392, " ")</f>
        <v>0</v>
      </c>
      <c r="E403" s="29">
        <f>IFERROR('WV 4.0'!E392, " ")</f>
        <v>0</v>
      </c>
      <c r="F403" s="27">
        <f>IFERROR(ROUND(HLOOKUP(Таблица5[[#Headers],[Цена КП]],'WV 4.0'!$A:$N,ROW('WV 4.0'!392:392),0),0),"")</f>
        <v>0</v>
      </c>
      <c r="G403" s="27">
        <f>IFERROR(Таблица5[[#This Row],[Цена КП]]*Таблица5[[#This Row],[Кол-во]],"")</f>
        <v>0</v>
      </c>
      <c r="H403" s="42">
        <f>IFERROR(HLOOKUP(Таблица5[[#Headers],[Комментарии]],'WV 4.0'!$A:$N,ROW('WV 4.0'!392:392),0),"")</f>
        <v>0</v>
      </c>
      <c r="I403" s="42">
        <f>IFERROR(HLOOKUP(Таблица5[[#Headers],[Срок поставки]],'WV 4.0'!$A:$N,ROW('WV 4.0'!392:392),0),"")</f>
        <v>0</v>
      </c>
      <c r="J403" s="27" t="str">
        <f>IFERROR(HLOOKUP(Таблица5[[#Headers],[Цена КазНИИСА]],'WV 4.0'!$A:$N,ROW('WV 4.0'!392:392),0),"")</f>
        <v/>
      </c>
      <c r="K403" s="27" t="str">
        <f>IFERROR(HLOOKUP(Таблица5[[#Headers],[Сумма КазНИИСА]],'WV 4.0'!$A:$N,ROW('WV 4.0'!392:392),0),"")</f>
        <v/>
      </c>
      <c r="L403" s="27">
        <f>IFERROR(HLOOKUP(Таблица5[[#Headers],[Код КазНИИСА]],'WV 4.0'!$A:$N,ROW('WV 4.0'!392:392),0),"")</f>
        <v>0</v>
      </c>
      <c r="M403" s="27" t="str">
        <f>IFERROR(HLOOKUP(Таблица5[[#Headers],[РРЦ в тнг]],'WV 4.0'!$A:$N,ROW('WV 4.0'!392:392),0),"")</f>
        <v/>
      </c>
      <c r="N403" s="27" t="str">
        <f>IFERROR(HLOOKUP(Таблица5[[#Headers],[Сумма РРЦ]],'WV 4.0'!$A:$N,ROW('WV 4.0'!392:392),0),"")</f>
        <v/>
      </c>
    </row>
    <row r="404" spans="1:14" x14ac:dyDescent="0.25">
      <c r="A404" s="29">
        <f>IFERROR('WV 4.0'!A393, " ")</f>
        <v>0</v>
      </c>
      <c r="B404" s="29">
        <f>IFERROR('WV 4.0'!B393, " ")</f>
        <v>0</v>
      </c>
      <c r="C404" s="29">
        <f>IFERROR('WV 4.0'!C393, " ")</f>
        <v>0</v>
      </c>
      <c r="D404" s="29">
        <f>IFERROR('WV 4.0'!D393, " ")</f>
        <v>0</v>
      </c>
      <c r="E404" s="29">
        <f>IFERROR('WV 4.0'!E393, " ")</f>
        <v>0</v>
      </c>
      <c r="F404" s="27">
        <f>IFERROR(ROUND(HLOOKUP(Таблица5[[#Headers],[Цена КП]],'WV 4.0'!$A:$N,ROW('WV 4.0'!393:393),0),0),"")</f>
        <v>0</v>
      </c>
      <c r="G404" s="27">
        <f>IFERROR(Таблица5[[#This Row],[Цена КП]]*Таблица5[[#This Row],[Кол-во]],"")</f>
        <v>0</v>
      </c>
      <c r="H404" s="42">
        <f>IFERROR(HLOOKUP(Таблица5[[#Headers],[Комментарии]],'WV 4.0'!$A:$N,ROW('WV 4.0'!393:393),0),"")</f>
        <v>0</v>
      </c>
      <c r="I404" s="42">
        <f>IFERROR(HLOOKUP(Таблица5[[#Headers],[Срок поставки]],'WV 4.0'!$A:$N,ROW('WV 4.0'!393:393),0),"")</f>
        <v>0</v>
      </c>
      <c r="J404" s="27" t="str">
        <f>IFERROR(HLOOKUP(Таблица5[[#Headers],[Цена КазНИИСА]],'WV 4.0'!$A:$N,ROW('WV 4.0'!393:393),0),"")</f>
        <v/>
      </c>
      <c r="K404" s="27" t="str">
        <f>IFERROR(HLOOKUP(Таблица5[[#Headers],[Сумма КазНИИСА]],'WV 4.0'!$A:$N,ROW('WV 4.0'!393:393),0),"")</f>
        <v/>
      </c>
      <c r="L404" s="27">
        <f>IFERROR(HLOOKUP(Таблица5[[#Headers],[Код КазНИИСА]],'WV 4.0'!$A:$N,ROW('WV 4.0'!393:393),0),"")</f>
        <v>0</v>
      </c>
      <c r="M404" s="27" t="str">
        <f>IFERROR(HLOOKUP(Таблица5[[#Headers],[РРЦ в тнг]],'WV 4.0'!$A:$N,ROW('WV 4.0'!393:393),0),"")</f>
        <v/>
      </c>
      <c r="N404" s="27" t="str">
        <f>IFERROR(HLOOKUP(Таблица5[[#Headers],[Сумма РРЦ]],'WV 4.0'!$A:$N,ROW('WV 4.0'!393:393),0),"")</f>
        <v/>
      </c>
    </row>
    <row r="405" spans="1:14" x14ac:dyDescent="0.25">
      <c r="A405" s="29">
        <f>IFERROR('WV 4.0'!A394, " ")</f>
        <v>0</v>
      </c>
      <c r="B405" s="29">
        <f>IFERROR('WV 4.0'!B394, " ")</f>
        <v>0</v>
      </c>
      <c r="C405" s="29">
        <f>IFERROR('WV 4.0'!C394, " ")</f>
        <v>0</v>
      </c>
      <c r="D405" s="29">
        <f>IFERROR('WV 4.0'!D394, " ")</f>
        <v>0</v>
      </c>
      <c r="E405" s="29">
        <f>IFERROR('WV 4.0'!E394, " ")</f>
        <v>0</v>
      </c>
      <c r="F405" s="27">
        <f>IFERROR(ROUND(HLOOKUP(Таблица5[[#Headers],[Цена КП]],'WV 4.0'!$A:$N,ROW('WV 4.0'!394:394),0),0),"")</f>
        <v>0</v>
      </c>
      <c r="G405" s="27">
        <f>IFERROR(Таблица5[[#This Row],[Цена КП]]*Таблица5[[#This Row],[Кол-во]],"")</f>
        <v>0</v>
      </c>
      <c r="H405" s="42">
        <f>IFERROR(HLOOKUP(Таблица5[[#Headers],[Комментарии]],'WV 4.0'!$A:$N,ROW('WV 4.0'!394:394),0),"")</f>
        <v>0</v>
      </c>
      <c r="I405" s="42">
        <f>IFERROR(HLOOKUP(Таблица5[[#Headers],[Срок поставки]],'WV 4.0'!$A:$N,ROW('WV 4.0'!394:394),0),"")</f>
        <v>0</v>
      </c>
      <c r="J405" s="27" t="str">
        <f>IFERROR(HLOOKUP(Таблица5[[#Headers],[Цена КазНИИСА]],'WV 4.0'!$A:$N,ROW('WV 4.0'!394:394),0),"")</f>
        <v/>
      </c>
      <c r="K405" s="27" t="str">
        <f>IFERROR(HLOOKUP(Таблица5[[#Headers],[Сумма КазНИИСА]],'WV 4.0'!$A:$N,ROW('WV 4.0'!394:394),0),"")</f>
        <v/>
      </c>
      <c r="L405" s="27">
        <f>IFERROR(HLOOKUP(Таблица5[[#Headers],[Код КазНИИСА]],'WV 4.0'!$A:$N,ROW('WV 4.0'!394:394),0),"")</f>
        <v>0</v>
      </c>
      <c r="M405" s="27" t="str">
        <f>IFERROR(HLOOKUP(Таблица5[[#Headers],[РРЦ в тнг]],'WV 4.0'!$A:$N,ROW('WV 4.0'!394:394),0),"")</f>
        <v/>
      </c>
      <c r="N405" s="27" t="str">
        <f>IFERROR(HLOOKUP(Таблица5[[#Headers],[Сумма РРЦ]],'WV 4.0'!$A:$N,ROW('WV 4.0'!394:394),0),"")</f>
        <v/>
      </c>
    </row>
    <row r="406" spans="1:14" x14ac:dyDescent="0.25">
      <c r="A406" s="29">
        <f>IFERROR('WV 4.0'!A395, " ")</f>
        <v>0</v>
      </c>
      <c r="B406" s="29">
        <f>IFERROR('WV 4.0'!B395, " ")</f>
        <v>0</v>
      </c>
      <c r="C406" s="29">
        <f>IFERROR('WV 4.0'!C395, " ")</f>
        <v>0</v>
      </c>
      <c r="D406" s="29">
        <f>IFERROR('WV 4.0'!D395, " ")</f>
        <v>0</v>
      </c>
      <c r="E406" s="29">
        <f>IFERROR('WV 4.0'!E395, " ")</f>
        <v>0</v>
      </c>
      <c r="F406" s="27">
        <f>IFERROR(ROUND(HLOOKUP(Таблица5[[#Headers],[Цена КП]],'WV 4.0'!$A:$N,ROW('WV 4.0'!395:395),0),0),"")</f>
        <v>0</v>
      </c>
      <c r="G406" s="27">
        <f>IFERROR(Таблица5[[#This Row],[Цена КП]]*Таблица5[[#This Row],[Кол-во]],"")</f>
        <v>0</v>
      </c>
      <c r="H406" s="42">
        <f>IFERROR(HLOOKUP(Таблица5[[#Headers],[Комментарии]],'WV 4.0'!$A:$N,ROW('WV 4.0'!395:395),0),"")</f>
        <v>0</v>
      </c>
      <c r="I406" s="42">
        <f>IFERROR(HLOOKUP(Таблица5[[#Headers],[Срок поставки]],'WV 4.0'!$A:$N,ROW('WV 4.0'!395:395),0),"")</f>
        <v>0</v>
      </c>
      <c r="J406" s="27" t="str">
        <f>IFERROR(HLOOKUP(Таблица5[[#Headers],[Цена КазНИИСА]],'WV 4.0'!$A:$N,ROW('WV 4.0'!395:395),0),"")</f>
        <v/>
      </c>
      <c r="K406" s="27" t="str">
        <f>IFERROR(HLOOKUP(Таблица5[[#Headers],[Сумма КазНИИСА]],'WV 4.0'!$A:$N,ROW('WV 4.0'!395:395),0),"")</f>
        <v/>
      </c>
      <c r="L406" s="27">
        <f>IFERROR(HLOOKUP(Таблица5[[#Headers],[Код КазНИИСА]],'WV 4.0'!$A:$N,ROW('WV 4.0'!395:395),0),"")</f>
        <v>0</v>
      </c>
      <c r="M406" s="27" t="str">
        <f>IFERROR(HLOOKUP(Таблица5[[#Headers],[РРЦ в тнг]],'WV 4.0'!$A:$N,ROW('WV 4.0'!395:395),0),"")</f>
        <v/>
      </c>
      <c r="N406" s="27" t="str">
        <f>IFERROR(HLOOKUP(Таблица5[[#Headers],[Сумма РРЦ]],'WV 4.0'!$A:$N,ROW('WV 4.0'!395:395),0),"")</f>
        <v/>
      </c>
    </row>
    <row r="407" spans="1:14" x14ac:dyDescent="0.25">
      <c r="A407" s="29">
        <f>IFERROR('WV 4.0'!A396, " ")</f>
        <v>0</v>
      </c>
      <c r="B407" s="29">
        <f>IFERROR('WV 4.0'!B396, " ")</f>
        <v>0</v>
      </c>
      <c r="C407" s="29">
        <f>IFERROR('WV 4.0'!C396, " ")</f>
        <v>0</v>
      </c>
      <c r="D407" s="29">
        <f>IFERROR('WV 4.0'!D396, " ")</f>
        <v>0</v>
      </c>
      <c r="E407" s="29">
        <f>IFERROR('WV 4.0'!E396, " ")</f>
        <v>0</v>
      </c>
      <c r="F407" s="27">
        <f>IFERROR(ROUND(HLOOKUP(Таблица5[[#Headers],[Цена КП]],'WV 4.0'!$A:$N,ROW('WV 4.0'!396:396),0),0),"")</f>
        <v>0</v>
      </c>
      <c r="G407" s="27">
        <f>IFERROR(Таблица5[[#This Row],[Цена КП]]*Таблица5[[#This Row],[Кол-во]],"")</f>
        <v>0</v>
      </c>
      <c r="H407" s="42">
        <f>IFERROR(HLOOKUP(Таблица5[[#Headers],[Комментарии]],'WV 4.0'!$A:$N,ROW('WV 4.0'!396:396),0),"")</f>
        <v>0</v>
      </c>
      <c r="I407" s="42">
        <f>IFERROR(HLOOKUP(Таблица5[[#Headers],[Срок поставки]],'WV 4.0'!$A:$N,ROW('WV 4.0'!396:396),0),"")</f>
        <v>0</v>
      </c>
      <c r="J407" s="27" t="str">
        <f>IFERROR(HLOOKUP(Таблица5[[#Headers],[Цена КазНИИСА]],'WV 4.0'!$A:$N,ROW('WV 4.0'!396:396),0),"")</f>
        <v/>
      </c>
      <c r="K407" s="27" t="str">
        <f>IFERROR(HLOOKUP(Таблица5[[#Headers],[Сумма КазНИИСА]],'WV 4.0'!$A:$N,ROW('WV 4.0'!396:396),0),"")</f>
        <v/>
      </c>
      <c r="L407" s="27">
        <f>IFERROR(HLOOKUP(Таблица5[[#Headers],[Код КазНИИСА]],'WV 4.0'!$A:$N,ROW('WV 4.0'!396:396),0),"")</f>
        <v>0</v>
      </c>
      <c r="M407" s="27" t="str">
        <f>IFERROR(HLOOKUP(Таблица5[[#Headers],[РРЦ в тнг]],'WV 4.0'!$A:$N,ROW('WV 4.0'!396:396),0),"")</f>
        <v/>
      </c>
      <c r="N407" s="27" t="str">
        <f>IFERROR(HLOOKUP(Таблица5[[#Headers],[Сумма РРЦ]],'WV 4.0'!$A:$N,ROW('WV 4.0'!396:396),0),"")</f>
        <v/>
      </c>
    </row>
    <row r="408" spans="1:14" x14ac:dyDescent="0.25">
      <c r="A408" s="29">
        <f>IFERROR('WV 4.0'!A397, " ")</f>
        <v>0</v>
      </c>
      <c r="B408" s="29">
        <f>IFERROR('WV 4.0'!B397, " ")</f>
        <v>0</v>
      </c>
      <c r="C408" s="29">
        <f>IFERROR('WV 4.0'!C397, " ")</f>
        <v>0</v>
      </c>
      <c r="D408" s="29">
        <f>IFERROR('WV 4.0'!D397, " ")</f>
        <v>0</v>
      </c>
      <c r="E408" s="29">
        <f>IFERROR('WV 4.0'!E397, " ")</f>
        <v>0</v>
      </c>
      <c r="F408" s="27">
        <f>IFERROR(ROUND(HLOOKUP(Таблица5[[#Headers],[Цена КП]],'WV 4.0'!$A:$N,ROW('WV 4.0'!397:397),0),0),"")</f>
        <v>0</v>
      </c>
      <c r="G408" s="27">
        <f>IFERROR(Таблица5[[#This Row],[Цена КП]]*Таблица5[[#This Row],[Кол-во]],"")</f>
        <v>0</v>
      </c>
      <c r="H408" s="42">
        <f>IFERROR(HLOOKUP(Таблица5[[#Headers],[Комментарии]],'WV 4.0'!$A:$N,ROW('WV 4.0'!397:397),0),"")</f>
        <v>0</v>
      </c>
      <c r="I408" s="42">
        <f>IFERROR(HLOOKUP(Таблица5[[#Headers],[Срок поставки]],'WV 4.0'!$A:$N,ROW('WV 4.0'!397:397),0),"")</f>
        <v>0</v>
      </c>
      <c r="J408" s="27" t="str">
        <f>IFERROR(HLOOKUP(Таблица5[[#Headers],[Цена КазНИИСА]],'WV 4.0'!$A:$N,ROW('WV 4.0'!397:397),0),"")</f>
        <v/>
      </c>
      <c r="K408" s="27" t="str">
        <f>IFERROR(HLOOKUP(Таблица5[[#Headers],[Сумма КазНИИСА]],'WV 4.0'!$A:$N,ROW('WV 4.0'!397:397),0),"")</f>
        <v/>
      </c>
      <c r="L408" s="27">
        <f>IFERROR(HLOOKUP(Таблица5[[#Headers],[Код КазНИИСА]],'WV 4.0'!$A:$N,ROW('WV 4.0'!397:397),0),"")</f>
        <v>0</v>
      </c>
      <c r="M408" s="27" t="str">
        <f>IFERROR(HLOOKUP(Таблица5[[#Headers],[РРЦ в тнг]],'WV 4.0'!$A:$N,ROW('WV 4.0'!397:397),0),"")</f>
        <v/>
      </c>
      <c r="N408" s="27" t="str">
        <f>IFERROR(HLOOKUP(Таблица5[[#Headers],[Сумма РРЦ]],'WV 4.0'!$A:$N,ROW('WV 4.0'!397:397),0),"")</f>
        <v/>
      </c>
    </row>
    <row r="409" spans="1:14" x14ac:dyDescent="0.25">
      <c r="A409" s="29">
        <f>IFERROR('WV 4.0'!A398, " ")</f>
        <v>0</v>
      </c>
      <c r="B409" s="29">
        <f>IFERROR('WV 4.0'!B398, " ")</f>
        <v>0</v>
      </c>
      <c r="C409" s="29">
        <f>IFERROR('WV 4.0'!C398, " ")</f>
        <v>0</v>
      </c>
      <c r="D409" s="29">
        <f>IFERROR('WV 4.0'!D398, " ")</f>
        <v>0</v>
      </c>
      <c r="E409" s="29">
        <f>IFERROR('WV 4.0'!E398, " ")</f>
        <v>0</v>
      </c>
      <c r="F409" s="27">
        <f>IFERROR(ROUND(HLOOKUP(Таблица5[[#Headers],[Цена КП]],'WV 4.0'!$A:$N,ROW('WV 4.0'!398:398),0),0),"")</f>
        <v>0</v>
      </c>
      <c r="G409" s="27">
        <f>IFERROR(Таблица5[[#This Row],[Цена КП]]*Таблица5[[#This Row],[Кол-во]],"")</f>
        <v>0</v>
      </c>
      <c r="H409" s="42">
        <f>IFERROR(HLOOKUP(Таблица5[[#Headers],[Комментарии]],'WV 4.0'!$A:$N,ROW('WV 4.0'!398:398),0),"")</f>
        <v>0</v>
      </c>
      <c r="I409" s="42">
        <f>IFERROR(HLOOKUP(Таблица5[[#Headers],[Срок поставки]],'WV 4.0'!$A:$N,ROW('WV 4.0'!398:398),0),"")</f>
        <v>0</v>
      </c>
      <c r="J409" s="27" t="str">
        <f>IFERROR(HLOOKUP(Таблица5[[#Headers],[Цена КазНИИСА]],'WV 4.0'!$A:$N,ROW('WV 4.0'!398:398),0),"")</f>
        <v/>
      </c>
      <c r="K409" s="27" t="str">
        <f>IFERROR(HLOOKUP(Таблица5[[#Headers],[Сумма КазНИИСА]],'WV 4.0'!$A:$N,ROW('WV 4.0'!398:398),0),"")</f>
        <v/>
      </c>
      <c r="L409" s="27">
        <f>IFERROR(HLOOKUP(Таблица5[[#Headers],[Код КазНИИСА]],'WV 4.0'!$A:$N,ROW('WV 4.0'!398:398),0),"")</f>
        <v>0</v>
      </c>
      <c r="M409" s="27" t="str">
        <f>IFERROR(HLOOKUP(Таблица5[[#Headers],[РРЦ в тнг]],'WV 4.0'!$A:$N,ROW('WV 4.0'!398:398),0),"")</f>
        <v/>
      </c>
      <c r="N409" s="27" t="str">
        <f>IFERROR(HLOOKUP(Таблица5[[#Headers],[Сумма РРЦ]],'WV 4.0'!$A:$N,ROW('WV 4.0'!398:398),0),"")</f>
        <v/>
      </c>
    </row>
    <row r="410" spans="1:14" x14ac:dyDescent="0.25">
      <c r="A410" s="29">
        <f>IFERROR('WV 4.0'!A399, " ")</f>
        <v>0</v>
      </c>
      <c r="B410" s="29">
        <f>IFERROR('WV 4.0'!B399, " ")</f>
        <v>0</v>
      </c>
      <c r="C410" s="29">
        <f>IFERROR('WV 4.0'!C399, " ")</f>
        <v>0</v>
      </c>
      <c r="D410" s="29">
        <f>IFERROR('WV 4.0'!D399, " ")</f>
        <v>0</v>
      </c>
      <c r="E410" s="29">
        <f>IFERROR('WV 4.0'!E399, " ")</f>
        <v>0</v>
      </c>
      <c r="F410" s="27">
        <f>IFERROR(ROUND(HLOOKUP(Таблица5[[#Headers],[Цена КП]],'WV 4.0'!$A:$N,ROW('WV 4.0'!399:399),0),0),"")</f>
        <v>0</v>
      </c>
      <c r="G410" s="27">
        <f>IFERROR(Таблица5[[#This Row],[Цена КП]]*Таблица5[[#This Row],[Кол-во]],"")</f>
        <v>0</v>
      </c>
      <c r="H410" s="42">
        <f>IFERROR(HLOOKUP(Таблица5[[#Headers],[Комментарии]],'WV 4.0'!$A:$N,ROW('WV 4.0'!399:399),0),"")</f>
        <v>0</v>
      </c>
      <c r="I410" s="42">
        <f>IFERROR(HLOOKUP(Таблица5[[#Headers],[Срок поставки]],'WV 4.0'!$A:$N,ROW('WV 4.0'!399:399),0),"")</f>
        <v>0</v>
      </c>
      <c r="J410" s="27" t="str">
        <f>IFERROR(HLOOKUP(Таблица5[[#Headers],[Цена КазНИИСА]],'WV 4.0'!$A:$N,ROW('WV 4.0'!399:399),0),"")</f>
        <v/>
      </c>
      <c r="K410" s="27" t="str">
        <f>IFERROR(HLOOKUP(Таблица5[[#Headers],[Сумма КазНИИСА]],'WV 4.0'!$A:$N,ROW('WV 4.0'!399:399),0),"")</f>
        <v/>
      </c>
      <c r="L410" s="27">
        <f>IFERROR(HLOOKUP(Таблица5[[#Headers],[Код КазНИИСА]],'WV 4.0'!$A:$N,ROW('WV 4.0'!399:399),0),"")</f>
        <v>0</v>
      </c>
      <c r="M410" s="27" t="str">
        <f>IFERROR(HLOOKUP(Таблица5[[#Headers],[РРЦ в тнг]],'WV 4.0'!$A:$N,ROW('WV 4.0'!399:399),0),"")</f>
        <v/>
      </c>
      <c r="N410" s="27" t="str">
        <f>IFERROR(HLOOKUP(Таблица5[[#Headers],[Сумма РРЦ]],'WV 4.0'!$A:$N,ROW('WV 4.0'!399:399),0),"")</f>
        <v/>
      </c>
    </row>
    <row r="411" spans="1:14" x14ac:dyDescent="0.25">
      <c r="A411" s="29">
        <f>IFERROR('WV 4.0'!A400, " ")</f>
        <v>0</v>
      </c>
      <c r="B411" s="29">
        <f>IFERROR('WV 4.0'!B400, " ")</f>
        <v>0</v>
      </c>
      <c r="C411" s="29">
        <f>IFERROR('WV 4.0'!C400, " ")</f>
        <v>0</v>
      </c>
      <c r="D411" s="29">
        <f>IFERROR('WV 4.0'!D400, " ")</f>
        <v>0</v>
      </c>
      <c r="E411" s="29">
        <f>IFERROR('WV 4.0'!E400, " ")</f>
        <v>0</v>
      </c>
      <c r="F411" s="27">
        <f>IFERROR(ROUND(HLOOKUP(Таблица5[[#Headers],[Цена КП]],'WV 4.0'!$A:$N,ROW('WV 4.0'!400:400),0),0),"")</f>
        <v>0</v>
      </c>
      <c r="G411" s="27">
        <f>IFERROR(Таблица5[[#This Row],[Цена КП]]*Таблица5[[#This Row],[Кол-во]],"")</f>
        <v>0</v>
      </c>
      <c r="H411" s="42">
        <f>IFERROR(HLOOKUP(Таблица5[[#Headers],[Комментарии]],'WV 4.0'!$A:$N,ROW('WV 4.0'!400:400),0),"")</f>
        <v>0</v>
      </c>
      <c r="I411" s="42">
        <f>IFERROR(HLOOKUP(Таблица5[[#Headers],[Срок поставки]],'WV 4.0'!$A:$N,ROW('WV 4.0'!400:400),0),"")</f>
        <v>0</v>
      </c>
      <c r="J411" s="27" t="str">
        <f>IFERROR(HLOOKUP(Таблица5[[#Headers],[Цена КазНИИСА]],'WV 4.0'!$A:$N,ROW('WV 4.0'!400:400),0),"")</f>
        <v/>
      </c>
      <c r="K411" s="27" t="str">
        <f>IFERROR(HLOOKUP(Таблица5[[#Headers],[Сумма КазНИИСА]],'WV 4.0'!$A:$N,ROW('WV 4.0'!400:400),0),"")</f>
        <v/>
      </c>
      <c r="L411" s="27">
        <f>IFERROR(HLOOKUP(Таблица5[[#Headers],[Код КазНИИСА]],'WV 4.0'!$A:$N,ROW('WV 4.0'!400:400),0),"")</f>
        <v>0</v>
      </c>
      <c r="M411" s="27" t="str">
        <f>IFERROR(HLOOKUP(Таблица5[[#Headers],[РРЦ в тнг]],'WV 4.0'!$A:$N,ROW('WV 4.0'!400:400),0),"")</f>
        <v/>
      </c>
      <c r="N411" s="27" t="str">
        <f>IFERROR(HLOOKUP(Таблица5[[#Headers],[Сумма РРЦ]],'WV 4.0'!$A:$N,ROW('WV 4.0'!400:400),0),"")</f>
        <v/>
      </c>
    </row>
    <row r="412" spans="1:14" x14ac:dyDescent="0.25">
      <c r="A412" s="29">
        <f>IFERROR('WV 4.0'!A401, " ")</f>
        <v>0</v>
      </c>
      <c r="B412" s="29">
        <f>IFERROR('WV 4.0'!B401, " ")</f>
        <v>0</v>
      </c>
      <c r="C412" s="29">
        <f>IFERROR('WV 4.0'!C401, " ")</f>
        <v>0</v>
      </c>
      <c r="D412" s="29">
        <f>IFERROR('WV 4.0'!D401, " ")</f>
        <v>0</v>
      </c>
      <c r="E412" s="29">
        <f>IFERROR('WV 4.0'!E401, " ")</f>
        <v>0</v>
      </c>
      <c r="F412" s="27">
        <f>IFERROR(ROUND(HLOOKUP(Таблица5[[#Headers],[Цена КП]],'WV 4.0'!$A:$N,ROW('WV 4.0'!401:401),0),0),"")</f>
        <v>0</v>
      </c>
      <c r="G412" s="27">
        <f>IFERROR(Таблица5[[#This Row],[Цена КП]]*Таблица5[[#This Row],[Кол-во]],"")</f>
        <v>0</v>
      </c>
      <c r="H412" s="42">
        <f>IFERROR(HLOOKUP(Таблица5[[#Headers],[Комментарии]],'WV 4.0'!$A:$N,ROW('WV 4.0'!401:401),0),"")</f>
        <v>0</v>
      </c>
      <c r="I412" s="42">
        <f>IFERROR(HLOOKUP(Таблица5[[#Headers],[Срок поставки]],'WV 4.0'!$A:$N,ROW('WV 4.0'!401:401),0),"")</f>
        <v>0</v>
      </c>
      <c r="J412" s="27" t="str">
        <f>IFERROR(HLOOKUP(Таблица5[[#Headers],[Цена КазНИИСА]],'WV 4.0'!$A:$N,ROW('WV 4.0'!401:401),0),"")</f>
        <v/>
      </c>
      <c r="K412" s="27" t="str">
        <f>IFERROR(HLOOKUP(Таблица5[[#Headers],[Сумма КазНИИСА]],'WV 4.0'!$A:$N,ROW('WV 4.0'!401:401),0),"")</f>
        <v/>
      </c>
      <c r="L412" s="27">
        <f>IFERROR(HLOOKUP(Таблица5[[#Headers],[Код КазНИИСА]],'WV 4.0'!$A:$N,ROW('WV 4.0'!401:401),0),"")</f>
        <v>0</v>
      </c>
      <c r="M412" s="27" t="str">
        <f>IFERROR(HLOOKUP(Таблица5[[#Headers],[РРЦ в тнг]],'WV 4.0'!$A:$N,ROW('WV 4.0'!401:401),0),"")</f>
        <v/>
      </c>
      <c r="N412" s="27" t="str">
        <f>IFERROR(HLOOKUP(Таблица5[[#Headers],[Сумма РРЦ]],'WV 4.0'!$A:$N,ROW('WV 4.0'!401:401),0),"")</f>
        <v/>
      </c>
    </row>
    <row r="413" spans="1:14" x14ac:dyDescent="0.25">
      <c r="A413" s="29">
        <f>IFERROR('WV 4.0'!A402, " ")</f>
        <v>0</v>
      </c>
      <c r="B413" s="29">
        <f>IFERROR('WV 4.0'!B402, " ")</f>
        <v>0</v>
      </c>
      <c r="C413" s="29">
        <f>IFERROR('WV 4.0'!C402, " ")</f>
        <v>0</v>
      </c>
      <c r="D413" s="29">
        <f>IFERROR('WV 4.0'!D402, " ")</f>
        <v>0</v>
      </c>
      <c r="E413" s="29">
        <f>IFERROR('WV 4.0'!E402, " ")</f>
        <v>0</v>
      </c>
      <c r="F413" s="27">
        <f>IFERROR(ROUND(HLOOKUP(Таблица5[[#Headers],[Цена КП]],'WV 4.0'!$A:$N,ROW('WV 4.0'!402:402),0),0),"")</f>
        <v>0</v>
      </c>
      <c r="G413" s="27">
        <f>IFERROR(Таблица5[[#This Row],[Цена КП]]*Таблица5[[#This Row],[Кол-во]],"")</f>
        <v>0</v>
      </c>
      <c r="H413" s="42">
        <f>IFERROR(HLOOKUP(Таблица5[[#Headers],[Комментарии]],'WV 4.0'!$A:$N,ROW('WV 4.0'!402:402),0),"")</f>
        <v>0</v>
      </c>
      <c r="I413" s="42">
        <f>IFERROR(HLOOKUP(Таблица5[[#Headers],[Срок поставки]],'WV 4.0'!$A:$N,ROW('WV 4.0'!402:402),0),"")</f>
        <v>0</v>
      </c>
      <c r="J413" s="27" t="str">
        <f>IFERROR(HLOOKUP(Таблица5[[#Headers],[Цена КазНИИСА]],'WV 4.0'!$A:$N,ROW('WV 4.0'!402:402),0),"")</f>
        <v/>
      </c>
      <c r="K413" s="27" t="str">
        <f>IFERROR(HLOOKUP(Таблица5[[#Headers],[Сумма КазНИИСА]],'WV 4.0'!$A:$N,ROW('WV 4.0'!402:402),0),"")</f>
        <v/>
      </c>
      <c r="L413" s="27">
        <f>IFERROR(HLOOKUP(Таблица5[[#Headers],[Код КазНИИСА]],'WV 4.0'!$A:$N,ROW('WV 4.0'!402:402),0),"")</f>
        <v>0</v>
      </c>
      <c r="M413" s="27" t="str">
        <f>IFERROR(HLOOKUP(Таблица5[[#Headers],[РРЦ в тнг]],'WV 4.0'!$A:$N,ROW('WV 4.0'!402:402),0),"")</f>
        <v/>
      </c>
      <c r="N413" s="27" t="str">
        <f>IFERROR(HLOOKUP(Таблица5[[#Headers],[Сумма РРЦ]],'WV 4.0'!$A:$N,ROW('WV 4.0'!402:402),0),"")</f>
        <v/>
      </c>
    </row>
    <row r="414" spans="1:14" x14ac:dyDescent="0.25">
      <c r="A414" s="29">
        <f>IFERROR('WV 4.0'!A403, " ")</f>
        <v>0</v>
      </c>
      <c r="B414" s="29">
        <f>IFERROR('WV 4.0'!B403, " ")</f>
        <v>0</v>
      </c>
      <c r="C414" s="29">
        <f>IFERROR('WV 4.0'!C403, " ")</f>
        <v>0</v>
      </c>
      <c r="D414" s="29">
        <f>IFERROR('WV 4.0'!D403, " ")</f>
        <v>0</v>
      </c>
      <c r="E414" s="29">
        <f>IFERROR('WV 4.0'!E403, " ")</f>
        <v>0</v>
      </c>
      <c r="F414" s="27">
        <f>IFERROR(ROUND(HLOOKUP(Таблица5[[#Headers],[Цена КП]],'WV 4.0'!$A:$N,ROW('WV 4.0'!403:403),0),0),"")</f>
        <v>0</v>
      </c>
      <c r="G414" s="27">
        <f>IFERROR(Таблица5[[#This Row],[Цена КП]]*Таблица5[[#This Row],[Кол-во]],"")</f>
        <v>0</v>
      </c>
      <c r="H414" s="42">
        <f>IFERROR(HLOOKUP(Таблица5[[#Headers],[Комментарии]],'WV 4.0'!$A:$N,ROW('WV 4.0'!403:403),0),"")</f>
        <v>0</v>
      </c>
      <c r="I414" s="42">
        <f>IFERROR(HLOOKUP(Таблица5[[#Headers],[Срок поставки]],'WV 4.0'!$A:$N,ROW('WV 4.0'!403:403),0),"")</f>
        <v>0</v>
      </c>
      <c r="J414" s="27" t="str">
        <f>IFERROR(HLOOKUP(Таблица5[[#Headers],[Цена КазНИИСА]],'WV 4.0'!$A:$N,ROW('WV 4.0'!403:403),0),"")</f>
        <v/>
      </c>
      <c r="K414" s="27" t="str">
        <f>IFERROR(HLOOKUP(Таблица5[[#Headers],[Сумма КазНИИСА]],'WV 4.0'!$A:$N,ROW('WV 4.0'!403:403),0),"")</f>
        <v/>
      </c>
      <c r="L414" s="27">
        <f>IFERROR(HLOOKUP(Таблица5[[#Headers],[Код КазНИИСА]],'WV 4.0'!$A:$N,ROW('WV 4.0'!403:403),0),"")</f>
        <v>0</v>
      </c>
      <c r="M414" s="27" t="str">
        <f>IFERROR(HLOOKUP(Таблица5[[#Headers],[РРЦ в тнг]],'WV 4.0'!$A:$N,ROW('WV 4.0'!403:403),0),"")</f>
        <v/>
      </c>
      <c r="N414" s="27" t="str">
        <f>IFERROR(HLOOKUP(Таблица5[[#Headers],[Сумма РРЦ]],'WV 4.0'!$A:$N,ROW('WV 4.0'!403:403),0),"")</f>
        <v/>
      </c>
    </row>
    <row r="415" spans="1:14" x14ac:dyDescent="0.25">
      <c r="A415" s="29">
        <f>IFERROR('WV 4.0'!A404, " ")</f>
        <v>0</v>
      </c>
      <c r="B415" s="29">
        <f>IFERROR('WV 4.0'!B404, " ")</f>
        <v>0</v>
      </c>
      <c r="C415" s="29">
        <f>IFERROR('WV 4.0'!C404, " ")</f>
        <v>0</v>
      </c>
      <c r="D415" s="29">
        <f>IFERROR('WV 4.0'!D404, " ")</f>
        <v>0</v>
      </c>
      <c r="E415" s="29">
        <f>IFERROR('WV 4.0'!E404, " ")</f>
        <v>0</v>
      </c>
      <c r="F415" s="27">
        <f>IFERROR(ROUND(HLOOKUP(Таблица5[[#Headers],[Цена КП]],'WV 4.0'!$A:$N,ROW('WV 4.0'!404:404),0),0),"")</f>
        <v>0</v>
      </c>
      <c r="G415" s="27">
        <f>IFERROR(Таблица5[[#This Row],[Цена КП]]*Таблица5[[#This Row],[Кол-во]],"")</f>
        <v>0</v>
      </c>
      <c r="H415" s="42">
        <f>IFERROR(HLOOKUP(Таблица5[[#Headers],[Комментарии]],'WV 4.0'!$A:$N,ROW('WV 4.0'!404:404),0),"")</f>
        <v>0</v>
      </c>
      <c r="I415" s="42">
        <f>IFERROR(HLOOKUP(Таблица5[[#Headers],[Срок поставки]],'WV 4.0'!$A:$N,ROW('WV 4.0'!404:404),0),"")</f>
        <v>0</v>
      </c>
      <c r="J415" s="27" t="str">
        <f>IFERROR(HLOOKUP(Таблица5[[#Headers],[Цена КазНИИСА]],'WV 4.0'!$A:$N,ROW('WV 4.0'!404:404),0),"")</f>
        <v/>
      </c>
      <c r="K415" s="27" t="str">
        <f>IFERROR(HLOOKUP(Таблица5[[#Headers],[Сумма КазНИИСА]],'WV 4.0'!$A:$N,ROW('WV 4.0'!404:404),0),"")</f>
        <v/>
      </c>
      <c r="L415" s="27">
        <f>IFERROR(HLOOKUP(Таблица5[[#Headers],[Код КазНИИСА]],'WV 4.0'!$A:$N,ROW('WV 4.0'!404:404),0),"")</f>
        <v>0</v>
      </c>
      <c r="M415" s="27" t="str">
        <f>IFERROR(HLOOKUP(Таблица5[[#Headers],[РРЦ в тнг]],'WV 4.0'!$A:$N,ROW('WV 4.0'!404:404),0),"")</f>
        <v/>
      </c>
      <c r="N415" s="27" t="str">
        <f>IFERROR(HLOOKUP(Таблица5[[#Headers],[Сумма РРЦ]],'WV 4.0'!$A:$N,ROW('WV 4.0'!404:404),0),"")</f>
        <v/>
      </c>
    </row>
    <row r="416" spans="1:14" x14ac:dyDescent="0.25">
      <c r="A416" s="29">
        <f>IFERROR('WV 4.0'!A405, " ")</f>
        <v>0</v>
      </c>
      <c r="B416" s="29">
        <f>IFERROR('WV 4.0'!B405, " ")</f>
        <v>0</v>
      </c>
      <c r="C416" s="29">
        <f>IFERROR('WV 4.0'!C405, " ")</f>
        <v>0</v>
      </c>
      <c r="D416" s="29">
        <f>IFERROR('WV 4.0'!D405, " ")</f>
        <v>0</v>
      </c>
      <c r="E416" s="29">
        <f>IFERROR('WV 4.0'!E405, " ")</f>
        <v>0</v>
      </c>
      <c r="F416" s="27">
        <f>IFERROR(ROUND(HLOOKUP(Таблица5[[#Headers],[Цена КП]],'WV 4.0'!$A:$N,ROW('WV 4.0'!405:405),0),0),"")</f>
        <v>0</v>
      </c>
      <c r="G416" s="27">
        <f>IFERROR(Таблица5[[#This Row],[Цена КП]]*Таблица5[[#This Row],[Кол-во]],"")</f>
        <v>0</v>
      </c>
      <c r="H416" s="42">
        <f>IFERROR(HLOOKUP(Таблица5[[#Headers],[Комментарии]],'WV 4.0'!$A:$N,ROW('WV 4.0'!405:405),0),"")</f>
        <v>0</v>
      </c>
      <c r="I416" s="42">
        <f>IFERROR(HLOOKUP(Таблица5[[#Headers],[Срок поставки]],'WV 4.0'!$A:$N,ROW('WV 4.0'!405:405),0),"")</f>
        <v>0</v>
      </c>
      <c r="J416" s="27" t="str">
        <f>IFERROR(HLOOKUP(Таблица5[[#Headers],[Цена КазНИИСА]],'WV 4.0'!$A:$N,ROW('WV 4.0'!405:405),0),"")</f>
        <v/>
      </c>
      <c r="K416" s="27" t="str">
        <f>IFERROR(HLOOKUP(Таблица5[[#Headers],[Сумма КазНИИСА]],'WV 4.0'!$A:$N,ROW('WV 4.0'!405:405),0),"")</f>
        <v/>
      </c>
      <c r="L416" s="27">
        <f>IFERROR(HLOOKUP(Таблица5[[#Headers],[Код КазНИИСА]],'WV 4.0'!$A:$N,ROW('WV 4.0'!405:405),0),"")</f>
        <v>0</v>
      </c>
      <c r="M416" s="27" t="str">
        <f>IFERROR(HLOOKUP(Таблица5[[#Headers],[РРЦ в тнг]],'WV 4.0'!$A:$N,ROW('WV 4.0'!405:405),0),"")</f>
        <v/>
      </c>
      <c r="N416" s="27" t="str">
        <f>IFERROR(HLOOKUP(Таблица5[[#Headers],[Сумма РРЦ]],'WV 4.0'!$A:$N,ROW('WV 4.0'!405:405),0),"")</f>
        <v/>
      </c>
    </row>
    <row r="417" spans="1:14" x14ac:dyDescent="0.25">
      <c r="A417" s="29">
        <f>IFERROR('WV 4.0'!A406, " ")</f>
        <v>0</v>
      </c>
      <c r="B417" s="29">
        <f>IFERROR('WV 4.0'!B406, " ")</f>
        <v>0</v>
      </c>
      <c r="C417" s="29">
        <f>IFERROR('WV 4.0'!C406, " ")</f>
        <v>0</v>
      </c>
      <c r="D417" s="29">
        <f>IFERROR('WV 4.0'!D406, " ")</f>
        <v>0</v>
      </c>
      <c r="E417" s="29">
        <f>IFERROR('WV 4.0'!E406, " ")</f>
        <v>0</v>
      </c>
      <c r="F417" s="27">
        <f>IFERROR(ROUND(HLOOKUP(Таблица5[[#Headers],[Цена КП]],'WV 4.0'!$A:$N,ROW('WV 4.0'!406:406),0),0),"")</f>
        <v>0</v>
      </c>
      <c r="G417" s="27">
        <f>IFERROR(Таблица5[[#This Row],[Цена КП]]*Таблица5[[#This Row],[Кол-во]],"")</f>
        <v>0</v>
      </c>
      <c r="H417" s="42">
        <f>IFERROR(HLOOKUP(Таблица5[[#Headers],[Комментарии]],'WV 4.0'!$A:$N,ROW('WV 4.0'!406:406),0),"")</f>
        <v>0</v>
      </c>
      <c r="I417" s="42">
        <f>IFERROR(HLOOKUP(Таблица5[[#Headers],[Срок поставки]],'WV 4.0'!$A:$N,ROW('WV 4.0'!406:406),0),"")</f>
        <v>0</v>
      </c>
      <c r="J417" s="27" t="str">
        <f>IFERROR(HLOOKUP(Таблица5[[#Headers],[Цена КазНИИСА]],'WV 4.0'!$A:$N,ROW('WV 4.0'!406:406),0),"")</f>
        <v/>
      </c>
      <c r="K417" s="27" t="str">
        <f>IFERROR(HLOOKUP(Таблица5[[#Headers],[Сумма КазНИИСА]],'WV 4.0'!$A:$N,ROW('WV 4.0'!406:406),0),"")</f>
        <v/>
      </c>
      <c r="L417" s="27">
        <f>IFERROR(HLOOKUP(Таблица5[[#Headers],[Код КазНИИСА]],'WV 4.0'!$A:$N,ROW('WV 4.0'!406:406),0),"")</f>
        <v>0</v>
      </c>
      <c r="M417" s="27" t="str">
        <f>IFERROR(HLOOKUP(Таблица5[[#Headers],[РРЦ в тнг]],'WV 4.0'!$A:$N,ROW('WV 4.0'!406:406),0),"")</f>
        <v/>
      </c>
      <c r="N417" s="27" t="str">
        <f>IFERROR(HLOOKUP(Таблица5[[#Headers],[Сумма РРЦ]],'WV 4.0'!$A:$N,ROW('WV 4.0'!406:406),0),"")</f>
        <v/>
      </c>
    </row>
    <row r="418" spans="1:14" x14ac:dyDescent="0.25">
      <c r="A418" s="29">
        <f>IFERROR('WV 4.0'!A407, " ")</f>
        <v>0</v>
      </c>
      <c r="B418" s="29">
        <f>IFERROR('WV 4.0'!B407, " ")</f>
        <v>0</v>
      </c>
      <c r="C418" s="29">
        <f>IFERROR('WV 4.0'!C407, " ")</f>
        <v>0</v>
      </c>
      <c r="D418" s="29">
        <f>IFERROR('WV 4.0'!D407, " ")</f>
        <v>0</v>
      </c>
      <c r="E418" s="29">
        <f>IFERROR('WV 4.0'!E407, " ")</f>
        <v>0</v>
      </c>
      <c r="F418" s="27">
        <f>IFERROR(ROUND(HLOOKUP(Таблица5[[#Headers],[Цена КП]],'WV 4.0'!$A:$N,ROW('WV 4.0'!407:407),0),0),"")</f>
        <v>0</v>
      </c>
      <c r="G418" s="27">
        <f>IFERROR(Таблица5[[#This Row],[Цена КП]]*Таблица5[[#This Row],[Кол-во]],"")</f>
        <v>0</v>
      </c>
      <c r="H418" s="42">
        <f>IFERROR(HLOOKUP(Таблица5[[#Headers],[Комментарии]],'WV 4.0'!$A:$N,ROW('WV 4.0'!407:407),0),"")</f>
        <v>0</v>
      </c>
      <c r="I418" s="42">
        <f>IFERROR(HLOOKUP(Таблица5[[#Headers],[Срок поставки]],'WV 4.0'!$A:$N,ROW('WV 4.0'!407:407),0),"")</f>
        <v>0</v>
      </c>
      <c r="J418" s="27" t="str">
        <f>IFERROR(HLOOKUP(Таблица5[[#Headers],[Цена КазНИИСА]],'WV 4.0'!$A:$N,ROW('WV 4.0'!407:407),0),"")</f>
        <v/>
      </c>
      <c r="K418" s="27" t="str">
        <f>IFERROR(HLOOKUP(Таблица5[[#Headers],[Сумма КазНИИСА]],'WV 4.0'!$A:$N,ROW('WV 4.0'!407:407),0),"")</f>
        <v/>
      </c>
      <c r="L418" s="27">
        <f>IFERROR(HLOOKUP(Таблица5[[#Headers],[Код КазНИИСА]],'WV 4.0'!$A:$N,ROW('WV 4.0'!407:407),0),"")</f>
        <v>0</v>
      </c>
      <c r="M418" s="27" t="str">
        <f>IFERROR(HLOOKUP(Таблица5[[#Headers],[РРЦ в тнг]],'WV 4.0'!$A:$N,ROW('WV 4.0'!407:407),0),"")</f>
        <v/>
      </c>
      <c r="N418" s="27" t="str">
        <f>IFERROR(HLOOKUP(Таблица5[[#Headers],[Сумма РРЦ]],'WV 4.0'!$A:$N,ROW('WV 4.0'!407:407),0),"")</f>
        <v/>
      </c>
    </row>
    <row r="419" spans="1:14" x14ac:dyDescent="0.25">
      <c r="A419" s="29">
        <f>IFERROR('WV 4.0'!A408, " ")</f>
        <v>0</v>
      </c>
      <c r="B419" s="29">
        <f>IFERROR('WV 4.0'!B408, " ")</f>
        <v>0</v>
      </c>
      <c r="C419" s="29">
        <f>IFERROR('WV 4.0'!C408, " ")</f>
        <v>0</v>
      </c>
      <c r="D419" s="29">
        <f>IFERROR('WV 4.0'!D408, " ")</f>
        <v>0</v>
      </c>
      <c r="E419" s="29">
        <f>IFERROR('WV 4.0'!E408, " ")</f>
        <v>0</v>
      </c>
      <c r="F419" s="27">
        <f>IFERROR(ROUND(HLOOKUP(Таблица5[[#Headers],[Цена КП]],'WV 4.0'!$A:$N,ROW('WV 4.0'!408:408),0),0),"")</f>
        <v>0</v>
      </c>
      <c r="G419" s="27">
        <f>IFERROR(Таблица5[[#This Row],[Цена КП]]*Таблица5[[#This Row],[Кол-во]],"")</f>
        <v>0</v>
      </c>
      <c r="H419" s="42">
        <f>IFERROR(HLOOKUP(Таблица5[[#Headers],[Комментарии]],'WV 4.0'!$A:$N,ROW('WV 4.0'!408:408),0),"")</f>
        <v>0</v>
      </c>
      <c r="I419" s="42">
        <f>IFERROR(HLOOKUP(Таблица5[[#Headers],[Срок поставки]],'WV 4.0'!$A:$N,ROW('WV 4.0'!408:408),0),"")</f>
        <v>0</v>
      </c>
      <c r="J419" s="27" t="str">
        <f>IFERROR(HLOOKUP(Таблица5[[#Headers],[Цена КазНИИСА]],'WV 4.0'!$A:$N,ROW('WV 4.0'!408:408),0),"")</f>
        <v/>
      </c>
      <c r="K419" s="27" t="str">
        <f>IFERROR(HLOOKUP(Таблица5[[#Headers],[Сумма КазНИИСА]],'WV 4.0'!$A:$N,ROW('WV 4.0'!408:408),0),"")</f>
        <v/>
      </c>
      <c r="L419" s="27">
        <f>IFERROR(HLOOKUP(Таблица5[[#Headers],[Код КазНИИСА]],'WV 4.0'!$A:$N,ROW('WV 4.0'!408:408),0),"")</f>
        <v>0</v>
      </c>
      <c r="M419" s="27" t="str">
        <f>IFERROR(HLOOKUP(Таблица5[[#Headers],[РРЦ в тнг]],'WV 4.0'!$A:$N,ROW('WV 4.0'!408:408),0),"")</f>
        <v/>
      </c>
      <c r="N419" s="27" t="str">
        <f>IFERROR(HLOOKUP(Таблица5[[#Headers],[Сумма РРЦ]],'WV 4.0'!$A:$N,ROW('WV 4.0'!408:408),0),"")</f>
        <v/>
      </c>
    </row>
    <row r="420" spans="1:14" x14ac:dyDescent="0.25">
      <c r="A420" s="29">
        <f>IFERROR('WV 4.0'!A409, " ")</f>
        <v>0</v>
      </c>
      <c r="B420" s="29">
        <f>IFERROR('WV 4.0'!B409, " ")</f>
        <v>0</v>
      </c>
      <c r="C420" s="29">
        <f>IFERROR('WV 4.0'!C409, " ")</f>
        <v>0</v>
      </c>
      <c r="D420" s="29">
        <f>IFERROR('WV 4.0'!D409, " ")</f>
        <v>0</v>
      </c>
      <c r="E420" s="29">
        <f>IFERROR('WV 4.0'!E409, " ")</f>
        <v>0</v>
      </c>
      <c r="F420" s="27">
        <f>IFERROR(ROUND(HLOOKUP(Таблица5[[#Headers],[Цена КП]],'WV 4.0'!$A:$N,ROW('WV 4.0'!409:409),0),0),"")</f>
        <v>0</v>
      </c>
      <c r="G420" s="27">
        <f>IFERROR(Таблица5[[#This Row],[Цена КП]]*Таблица5[[#This Row],[Кол-во]],"")</f>
        <v>0</v>
      </c>
      <c r="H420" s="42">
        <f>IFERROR(HLOOKUP(Таблица5[[#Headers],[Комментарии]],'WV 4.0'!$A:$N,ROW('WV 4.0'!409:409),0),"")</f>
        <v>0</v>
      </c>
      <c r="I420" s="42">
        <f>IFERROR(HLOOKUP(Таблица5[[#Headers],[Срок поставки]],'WV 4.0'!$A:$N,ROW('WV 4.0'!409:409),0),"")</f>
        <v>0</v>
      </c>
      <c r="J420" s="27" t="str">
        <f>IFERROR(HLOOKUP(Таблица5[[#Headers],[Цена КазНИИСА]],'WV 4.0'!$A:$N,ROW('WV 4.0'!409:409),0),"")</f>
        <v/>
      </c>
      <c r="K420" s="27" t="str">
        <f>IFERROR(HLOOKUP(Таблица5[[#Headers],[Сумма КазНИИСА]],'WV 4.0'!$A:$N,ROW('WV 4.0'!409:409),0),"")</f>
        <v/>
      </c>
      <c r="L420" s="27">
        <f>IFERROR(HLOOKUP(Таблица5[[#Headers],[Код КазНИИСА]],'WV 4.0'!$A:$N,ROW('WV 4.0'!409:409),0),"")</f>
        <v>0</v>
      </c>
      <c r="M420" s="27" t="str">
        <f>IFERROR(HLOOKUP(Таблица5[[#Headers],[РРЦ в тнг]],'WV 4.0'!$A:$N,ROW('WV 4.0'!409:409),0),"")</f>
        <v/>
      </c>
      <c r="N420" s="27" t="str">
        <f>IFERROR(HLOOKUP(Таблица5[[#Headers],[Сумма РРЦ]],'WV 4.0'!$A:$N,ROW('WV 4.0'!409:409),0),"")</f>
        <v/>
      </c>
    </row>
    <row r="421" spans="1:14" x14ac:dyDescent="0.25">
      <c r="A421" s="29">
        <f>IFERROR('WV 4.0'!A410, " ")</f>
        <v>0</v>
      </c>
      <c r="B421" s="29">
        <f>IFERROR('WV 4.0'!B410, " ")</f>
        <v>0</v>
      </c>
      <c r="C421" s="29">
        <f>IFERROR('WV 4.0'!C410, " ")</f>
        <v>0</v>
      </c>
      <c r="D421" s="29">
        <f>IFERROR('WV 4.0'!D410, " ")</f>
        <v>0</v>
      </c>
      <c r="E421" s="29">
        <f>IFERROR('WV 4.0'!E410, " ")</f>
        <v>0</v>
      </c>
      <c r="F421" s="27">
        <f>IFERROR(ROUND(HLOOKUP(Таблица5[[#Headers],[Цена КП]],'WV 4.0'!$A:$N,ROW('WV 4.0'!410:410),0),0),"")</f>
        <v>0</v>
      </c>
      <c r="G421" s="27">
        <f>IFERROR(Таблица5[[#This Row],[Цена КП]]*Таблица5[[#This Row],[Кол-во]],"")</f>
        <v>0</v>
      </c>
      <c r="H421" s="42">
        <f>IFERROR(HLOOKUP(Таблица5[[#Headers],[Комментарии]],'WV 4.0'!$A:$N,ROW('WV 4.0'!410:410),0),"")</f>
        <v>0</v>
      </c>
      <c r="I421" s="42">
        <f>IFERROR(HLOOKUP(Таблица5[[#Headers],[Срок поставки]],'WV 4.0'!$A:$N,ROW('WV 4.0'!410:410),0),"")</f>
        <v>0</v>
      </c>
      <c r="J421" s="27" t="str">
        <f>IFERROR(HLOOKUP(Таблица5[[#Headers],[Цена КазНИИСА]],'WV 4.0'!$A:$N,ROW('WV 4.0'!410:410),0),"")</f>
        <v/>
      </c>
      <c r="K421" s="27" t="str">
        <f>IFERROR(HLOOKUP(Таблица5[[#Headers],[Сумма КазНИИСА]],'WV 4.0'!$A:$N,ROW('WV 4.0'!410:410),0),"")</f>
        <v/>
      </c>
      <c r="L421" s="27">
        <f>IFERROR(HLOOKUP(Таблица5[[#Headers],[Код КазНИИСА]],'WV 4.0'!$A:$N,ROW('WV 4.0'!410:410),0),"")</f>
        <v>0</v>
      </c>
      <c r="M421" s="27" t="str">
        <f>IFERROR(HLOOKUP(Таблица5[[#Headers],[РРЦ в тнг]],'WV 4.0'!$A:$N,ROW('WV 4.0'!410:410),0),"")</f>
        <v/>
      </c>
      <c r="N421" s="27" t="str">
        <f>IFERROR(HLOOKUP(Таблица5[[#Headers],[Сумма РРЦ]],'WV 4.0'!$A:$N,ROW('WV 4.0'!410:410),0),"")</f>
        <v/>
      </c>
    </row>
    <row r="422" spans="1:14" x14ac:dyDescent="0.25">
      <c r="A422" s="29">
        <f>IFERROR('WV 4.0'!A411, " ")</f>
        <v>0</v>
      </c>
      <c r="B422" s="29">
        <f>IFERROR('WV 4.0'!B411, " ")</f>
        <v>0</v>
      </c>
      <c r="C422" s="29">
        <f>IFERROR('WV 4.0'!C411, " ")</f>
        <v>0</v>
      </c>
      <c r="D422" s="29">
        <f>IFERROR('WV 4.0'!D411, " ")</f>
        <v>0</v>
      </c>
      <c r="E422" s="29">
        <f>IFERROR('WV 4.0'!E411, " ")</f>
        <v>0</v>
      </c>
      <c r="F422" s="27">
        <f>IFERROR(ROUND(HLOOKUP(Таблица5[[#Headers],[Цена КП]],'WV 4.0'!$A:$N,ROW('WV 4.0'!411:411),0),0),"")</f>
        <v>0</v>
      </c>
      <c r="G422" s="27">
        <f>IFERROR(Таблица5[[#This Row],[Цена КП]]*Таблица5[[#This Row],[Кол-во]],"")</f>
        <v>0</v>
      </c>
      <c r="H422" s="42">
        <f>IFERROR(HLOOKUP(Таблица5[[#Headers],[Комментарии]],'WV 4.0'!$A:$N,ROW('WV 4.0'!411:411),0),"")</f>
        <v>0</v>
      </c>
      <c r="I422" s="42">
        <f>IFERROR(HLOOKUP(Таблица5[[#Headers],[Срок поставки]],'WV 4.0'!$A:$N,ROW('WV 4.0'!411:411),0),"")</f>
        <v>0</v>
      </c>
      <c r="J422" s="27" t="str">
        <f>IFERROR(HLOOKUP(Таблица5[[#Headers],[Цена КазНИИСА]],'WV 4.0'!$A:$N,ROW('WV 4.0'!411:411),0),"")</f>
        <v/>
      </c>
      <c r="K422" s="27" t="str">
        <f>IFERROR(HLOOKUP(Таблица5[[#Headers],[Сумма КазНИИСА]],'WV 4.0'!$A:$N,ROW('WV 4.0'!411:411),0),"")</f>
        <v/>
      </c>
      <c r="L422" s="27">
        <f>IFERROR(HLOOKUP(Таблица5[[#Headers],[Код КазНИИСА]],'WV 4.0'!$A:$N,ROW('WV 4.0'!411:411),0),"")</f>
        <v>0</v>
      </c>
      <c r="M422" s="27" t="str">
        <f>IFERROR(HLOOKUP(Таблица5[[#Headers],[РРЦ в тнг]],'WV 4.0'!$A:$N,ROW('WV 4.0'!411:411),0),"")</f>
        <v/>
      </c>
      <c r="N422" s="27" t="str">
        <f>IFERROR(HLOOKUP(Таблица5[[#Headers],[Сумма РРЦ]],'WV 4.0'!$A:$N,ROW('WV 4.0'!411:411),0),"")</f>
        <v/>
      </c>
    </row>
    <row r="423" spans="1:14" x14ac:dyDescent="0.25">
      <c r="A423" s="29">
        <f>IFERROR('WV 4.0'!A412, " ")</f>
        <v>0</v>
      </c>
      <c r="B423" s="29">
        <f>IFERROR('WV 4.0'!B412, " ")</f>
        <v>0</v>
      </c>
      <c r="C423" s="29">
        <f>IFERROR('WV 4.0'!C412, " ")</f>
        <v>0</v>
      </c>
      <c r="D423" s="29">
        <f>IFERROR('WV 4.0'!D412, " ")</f>
        <v>0</v>
      </c>
      <c r="E423" s="29">
        <f>IFERROR('WV 4.0'!E412, " ")</f>
        <v>0</v>
      </c>
      <c r="F423" s="27">
        <f>IFERROR(ROUND(HLOOKUP(Таблица5[[#Headers],[Цена КП]],'WV 4.0'!$A:$N,ROW('WV 4.0'!412:412),0),0),"")</f>
        <v>0</v>
      </c>
      <c r="G423" s="27">
        <f>IFERROR(Таблица5[[#This Row],[Цена КП]]*Таблица5[[#This Row],[Кол-во]],"")</f>
        <v>0</v>
      </c>
      <c r="H423" s="42">
        <f>IFERROR(HLOOKUP(Таблица5[[#Headers],[Комментарии]],'WV 4.0'!$A:$N,ROW('WV 4.0'!412:412),0),"")</f>
        <v>0</v>
      </c>
      <c r="I423" s="42">
        <f>IFERROR(HLOOKUP(Таблица5[[#Headers],[Срок поставки]],'WV 4.0'!$A:$N,ROW('WV 4.0'!412:412),0),"")</f>
        <v>0</v>
      </c>
      <c r="J423" s="27" t="str">
        <f>IFERROR(HLOOKUP(Таблица5[[#Headers],[Цена КазНИИСА]],'WV 4.0'!$A:$N,ROW('WV 4.0'!412:412),0),"")</f>
        <v/>
      </c>
      <c r="K423" s="27" t="str">
        <f>IFERROR(HLOOKUP(Таблица5[[#Headers],[Сумма КазНИИСА]],'WV 4.0'!$A:$N,ROW('WV 4.0'!412:412),0),"")</f>
        <v/>
      </c>
      <c r="L423" s="27">
        <f>IFERROR(HLOOKUP(Таблица5[[#Headers],[Код КазНИИСА]],'WV 4.0'!$A:$N,ROW('WV 4.0'!412:412),0),"")</f>
        <v>0</v>
      </c>
      <c r="M423" s="27" t="str">
        <f>IFERROR(HLOOKUP(Таблица5[[#Headers],[РРЦ в тнг]],'WV 4.0'!$A:$N,ROW('WV 4.0'!412:412),0),"")</f>
        <v/>
      </c>
      <c r="N423" s="27" t="str">
        <f>IFERROR(HLOOKUP(Таблица5[[#Headers],[Сумма РРЦ]],'WV 4.0'!$A:$N,ROW('WV 4.0'!412:412),0),"")</f>
        <v/>
      </c>
    </row>
    <row r="424" spans="1:14" x14ac:dyDescent="0.25">
      <c r="A424" s="29">
        <f>IFERROR('WV 4.0'!A413, " ")</f>
        <v>0</v>
      </c>
      <c r="B424" s="29">
        <f>IFERROR('WV 4.0'!B413, " ")</f>
        <v>0</v>
      </c>
      <c r="C424" s="29">
        <f>IFERROR('WV 4.0'!C413, " ")</f>
        <v>0</v>
      </c>
      <c r="D424" s="29">
        <f>IFERROR('WV 4.0'!D413, " ")</f>
        <v>0</v>
      </c>
      <c r="E424" s="29">
        <f>IFERROR('WV 4.0'!E413, " ")</f>
        <v>0</v>
      </c>
      <c r="F424" s="27">
        <f>IFERROR(ROUND(HLOOKUP(Таблица5[[#Headers],[Цена КП]],'WV 4.0'!$A:$N,ROW('WV 4.0'!413:413),0),0),"")</f>
        <v>0</v>
      </c>
      <c r="G424" s="27">
        <f>IFERROR(Таблица5[[#This Row],[Цена КП]]*Таблица5[[#This Row],[Кол-во]],"")</f>
        <v>0</v>
      </c>
      <c r="H424" s="42">
        <f>IFERROR(HLOOKUP(Таблица5[[#Headers],[Комментарии]],'WV 4.0'!$A:$N,ROW('WV 4.0'!413:413),0),"")</f>
        <v>0</v>
      </c>
      <c r="I424" s="42">
        <f>IFERROR(HLOOKUP(Таблица5[[#Headers],[Срок поставки]],'WV 4.0'!$A:$N,ROW('WV 4.0'!413:413),0),"")</f>
        <v>0</v>
      </c>
      <c r="J424" s="27" t="str">
        <f>IFERROR(HLOOKUP(Таблица5[[#Headers],[Цена КазНИИСА]],'WV 4.0'!$A:$N,ROW('WV 4.0'!413:413),0),"")</f>
        <v/>
      </c>
      <c r="K424" s="27" t="str">
        <f>IFERROR(HLOOKUP(Таблица5[[#Headers],[Сумма КазНИИСА]],'WV 4.0'!$A:$N,ROW('WV 4.0'!413:413),0),"")</f>
        <v/>
      </c>
      <c r="L424" s="27">
        <f>IFERROR(HLOOKUP(Таблица5[[#Headers],[Код КазНИИСА]],'WV 4.0'!$A:$N,ROW('WV 4.0'!413:413),0),"")</f>
        <v>0</v>
      </c>
      <c r="M424" s="27" t="str">
        <f>IFERROR(HLOOKUP(Таблица5[[#Headers],[РРЦ в тнг]],'WV 4.0'!$A:$N,ROW('WV 4.0'!413:413),0),"")</f>
        <v/>
      </c>
      <c r="N424" s="27" t="str">
        <f>IFERROR(HLOOKUP(Таблица5[[#Headers],[Сумма РРЦ]],'WV 4.0'!$A:$N,ROW('WV 4.0'!413:413),0),"")</f>
        <v/>
      </c>
    </row>
    <row r="425" spans="1:14" x14ac:dyDescent="0.25">
      <c r="A425" s="29">
        <f>IFERROR('WV 4.0'!A414, " ")</f>
        <v>0</v>
      </c>
      <c r="B425" s="29">
        <f>IFERROR('WV 4.0'!B414, " ")</f>
        <v>0</v>
      </c>
      <c r="C425" s="29">
        <f>IFERROR('WV 4.0'!C414, " ")</f>
        <v>0</v>
      </c>
      <c r="D425" s="29">
        <f>IFERROR('WV 4.0'!D414, " ")</f>
        <v>0</v>
      </c>
      <c r="E425" s="29">
        <f>IFERROR('WV 4.0'!E414, " ")</f>
        <v>0</v>
      </c>
      <c r="F425" s="27">
        <f>IFERROR(ROUND(HLOOKUP(Таблица5[[#Headers],[Цена КП]],'WV 4.0'!$A:$N,ROW('WV 4.0'!414:414),0),0),"")</f>
        <v>0</v>
      </c>
      <c r="G425" s="27">
        <f>IFERROR(Таблица5[[#This Row],[Цена КП]]*Таблица5[[#This Row],[Кол-во]],"")</f>
        <v>0</v>
      </c>
      <c r="H425" s="42">
        <f>IFERROR(HLOOKUP(Таблица5[[#Headers],[Комментарии]],'WV 4.0'!$A:$N,ROW('WV 4.0'!414:414),0),"")</f>
        <v>0</v>
      </c>
      <c r="I425" s="42">
        <f>IFERROR(HLOOKUP(Таблица5[[#Headers],[Срок поставки]],'WV 4.0'!$A:$N,ROW('WV 4.0'!414:414),0),"")</f>
        <v>0</v>
      </c>
      <c r="J425" s="27" t="str">
        <f>IFERROR(HLOOKUP(Таблица5[[#Headers],[Цена КазНИИСА]],'WV 4.0'!$A:$N,ROW('WV 4.0'!414:414),0),"")</f>
        <v/>
      </c>
      <c r="K425" s="27" t="str">
        <f>IFERROR(HLOOKUP(Таблица5[[#Headers],[Сумма КазНИИСА]],'WV 4.0'!$A:$N,ROW('WV 4.0'!414:414),0),"")</f>
        <v/>
      </c>
      <c r="L425" s="27">
        <f>IFERROR(HLOOKUP(Таблица5[[#Headers],[Код КазНИИСА]],'WV 4.0'!$A:$N,ROW('WV 4.0'!414:414),0),"")</f>
        <v>0</v>
      </c>
      <c r="M425" s="27" t="str">
        <f>IFERROR(HLOOKUP(Таблица5[[#Headers],[РРЦ в тнг]],'WV 4.0'!$A:$N,ROW('WV 4.0'!414:414),0),"")</f>
        <v/>
      </c>
      <c r="N425" s="27" t="str">
        <f>IFERROR(HLOOKUP(Таблица5[[#Headers],[Сумма РРЦ]],'WV 4.0'!$A:$N,ROW('WV 4.0'!414:414),0),"")</f>
        <v/>
      </c>
    </row>
    <row r="426" spans="1:14" x14ac:dyDescent="0.25">
      <c r="A426" s="29">
        <f>IFERROR('WV 4.0'!A415, " ")</f>
        <v>0</v>
      </c>
      <c r="B426" s="29">
        <f>IFERROR('WV 4.0'!B415, " ")</f>
        <v>0</v>
      </c>
      <c r="C426" s="29">
        <f>IFERROR('WV 4.0'!C415, " ")</f>
        <v>0</v>
      </c>
      <c r="D426" s="29">
        <f>IFERROR('WV 4.0'!D415, " ")</f>
        <v>0</v>
      </c>
      <c r="E426" s="29">
        <f>IFERROR('WV 4.0'!E415, " ")</f>
        <v>0</v>
      </c>
      <c r="F426" s="27">
        <f>IFERROR(ROUND(HLOOKUP(Таблица5[[#Headers],[Цена КП]],'WV 4.0'!$A:$N,ROW('WV 4.0'!415:415),0),0),"")</f>
        <v>0</v>
      </c>
      <c r="G426" s="27">
        <f>IFERROR(Таблица5[[#This Row],[Цена КП]]*Таблица5[[#This Row],[Кол-во]],"")</f>
        <v>0</v>
      </c>
      <c r="H426" s="42">
        <f>IFERROR(HLOOKUP(Таблица5[[#Headers],[Комментарии]],'WV 4.0'!$A:$N,ROW('WV 4.0'!415:415),0),"")</f>
        <v>0</v>
      </c>
      <c r="I426" s="42">
        <f>IFERROR(HLOOKUP(Таблица5[[#Headers],[Срок поставки]],'WV 4.0'!$A:$N,ROW('WV 4.0'!415:415),0),"")</f>
        <v>0</v>
      </c>
      <c r="J426" s="27" t="str">
        <f>IFERROR(HLOOKUP(Таблица5[[#Headers],[Цена КазНИИСА]],'WV 4.0'!$A:$N,ROW('WV 4.0'!415:415),0),"")</f>
        <v/>
      </c>
      <c r="K426" s="27" t="str">
        <f>IFERROR(HLOOKUP(Таблица5[[#Headers],[Сумма КазНИИСА]],'WV 4.0'!$A:$N,ROW('WV 4.0'!415:415),0),"")</f>
        <v/>
      </c>
      <c r="L426" s="27">
        <f>IFERROR(HLOOKUP(Таблица5[[#Headers],[Код КазНИИСА]],'WV 4.0'!$A:$N,ROW('WV 4.0'!415:415),0),"")</f>
        <v>0</v>
      </c>
      <c r="M426" s="27" t="str">
        <f>IFERROR(HLOOKUP(Таблица5[[#Headers],[РРЦ в тнг]],'WV 4.0'!$A:$N,ROW('WV 4.0'!415:415),0),"")</f>
        <v/>
      </c>
      <c r="N426" s="27" t="str">
        <f>IFERROR(HLOOKUP(Таблица5[[#Headers],[Сумма РРЦ]],'WV 4.0'!$A:$N,ROW('WV 4.0'!415:415),0),"")</f>
        <v/>
      </c>
    </row>
    <row r="427" spans="1:14" x14ac:dyDescent="0.25">
      <c r="A427" s="29">
        <f>IFERROR('WV 4.0'!A416, " ")</f>
        <v>0</v>
      </c>
      <c r="B427" s="29">
        <f>IFERROR('WV 4.0'!B416, " ")</f>
        <v>0</v>
      </c>
      <c r="C427" s="29">
        <f>IFERROR('WV 4.0'!C416, " ")</f>
        <v>0</v>
      </c>
      <c r="D427" s="29">
        <f>IFERROR('WV 4.0'!D416, " ")</f>
        <v>0</v>
      </c>
      <c r="E427" s="29">
        <f>IFERROR('WV 4.0'!E416, " ")</f>
        <v>0</v>
      </c>
      <c r="F427" s="27">
        <f>IFERROR(ROUND(HLOOKUP(Таблица5[[#Headers],[Цена КП]],'WV 4.0'!$A:$N,ROW('WV 4.0'!416:416),0),0),"")</f>
        <v>0</v>
      </c>
      <c r="G427" s="27">
        <f>IFERROR(Таблица5[[#This Row],[Цена КП]]*Таблица5[[#This Row],[Кол-во]],"")</f>
        <v>0</v>
      </c>
      <c r="H427" s="42">
        <f>IFERROR(HLOOKUP(Таблица5[[#Headers],[Комментарии]],'WV 4.0'!$A:$N,ROW('WV 4.0'!416:416),0),"")</f>
        <v>0</v>
      </c>
      <c r="I427" s="42">
        <f>IFERROR(HLOOKUP(Таблица5[[#Headers],[Срок поставки]],'WV 4.0'!$A:$N,ROW('WV 4.0'!416:416),0),"")</f>
        <v>0</v>
      </c>
      <c r="J427" s="27" t="str">
        <f>IFERROR(HLOOKUP(Таблица5[[#Headers],[Цена КазНИИСА]],'WV 4.0'!$A:$N,ROW('WV 4.0'!416:416),0),"")</f>
        <v/>
      </c>
      <c r="K427" s="27" t="str">
        <f>IFERROR(HLOOKUP(Таблица5[[#Headers],[Сумма КазНИИСА]],'WV 4.0'!$A:$N,ROW('WV 4.0'!416:416),0),"")</f>
        <v/>
      </c>
      <c r="L427" s="27">
        <f>IFERROR(HLOOKUP(Таблица5[[#Headers],[Код КазНИИСА]],'WV 4.0'!$A:$N,ROW('WV 4.0'!416:416),0),"")</f>
        <v>0</v>
      </c>
      <c r="M427" s="27" t="str">
        <f>IFERROR(HLOOKUP(Таблица5[[#Headers],[РРЦ в тнг]],'WV 4.0'!$A:$N,ROW('WV 4.0'!416:416),0),"")</f>
        <v/>
      </c>
      <c r="N427" s="27" t="str">
        <f>IFERROR(HLOOKUP(Таблица5[[#Headers],[Сумма РРЦ]],'WV 4.0'!$A:$N,ROW('WV 4.0'!416:416),0),"")</f>
        <v/>
      </c>
    </row>
    <row r="428" spans="1:14" x14ac:dyDescent="0.25">
      <c r="A428" s="29">
        <f>IFERROR('WV 4.0'!A417, " ")</f>
        <v>0</v>
      </c>
      <c r="B428" s="29">
        <f>IFERROR('WV 4.0'!B417, " ")</f>
        <v>0</v>
      </c>
      <c r="C428" s="29">
        <f>IFERROR('WV 4.0'!C417, " ")</f>
        <v>0</v>
      </c>
      <c r="D428" s="29">
        <f>IFERROR('WV 4.0'!D417, " ")</f>
        <v>0</v>
      </c>
      <c r="E428" s="29">
        <f>IFERROR('WV 4.0'!E417, " ")</f>
        <v>0</v>
      </c>
      <c r="F428" s="27">
        <f>IFERROR(ROUND(HLOOKUP(Таблица5[[#Headers],[Цена КП]],'WV 4.0'!$A:$N,ROW('WV 4.0'!417:417),0),0),"")</f>
        <v>0</v>
      </c>
      <c r="G428" s="27">
        <f>IFERROR(Таблица5[[#This Row],[Цена КП]]*Таблица5[[#This Row],[Кол-во]],"")</f>
        <v>0</v>
      </c>
      <c r="H428" s="42">
        <f>IFERROR(HLOOKUP(Таблица5[[#Headers],[Комментарии]],'WV 4.0'!$A:$N,ROW('WV 4.0'!417:417),0),"")</f>
        <v>0</v>
      </c>
      <c r="I428" s="42">
        <f>IFERROR(HLOOKUP(Таблица5[[#Headers],[Срок поставки]],'WV 4.0'!$A:$N,ROW('WV 4.0'!417:417),0),"")</f>
        <v>0</v>
      </c>
      <c r="J428" s="27" t="str">
        <f>IFERROR(HLOOKUP(Таблица5[[#Headers],[Цена КазНИИСА]],'WV 4.0'!$A:$N,ROW('WV 4.0'!417:417),0),"")</f>
        <v/>
      </c>
      <c r="K428" s="27" t="str">
        <f>IFERROR(HLOOKUP(Таблица5[[#Headers],[Сумма КазНИИСА]],'WV 4.0'!$A:$N,ROW('WV 4.0'!417:417),0),"")</f>
        <v/>
      </c>
      <c r="L428" s="27">
        <f>IFERROR(HLOOKUP(Таблица5[[#Headers],[Код КазНИИСА]],'WV 4.0'!$A:$N,ROW('WV 4.0'!417:417),0),"")</f>
        <v>0</v>
      </c>
      <c r="M428" s="27" t="str">
        <f>IFERROR(HLOOKUP(Таблица5[[#Headers],[РРЦ в тнг]],'WV 4.0'!$A:$N,ROW('WV 4.0'!417:417),0),"")</f>
        <v/>
      </c>
      <c r="N428" s="27" t="str">
        <f>IFERROR(HLOOKUP(Таблица5[[#Headers],[Сумма РРЦ]],'WV 4.0'!$A:$N,ROW('WV 4.0'!417:417),0),"")</f>
        <v/>
      </c>
    </row>
    <row r="429" spans="1:14" x14ac:dyDescent="0.25">
      <c r="A429" s="29">
        <f>IFERROR('WV 4.0'!A418, " ")</f>
        <v>0</v>
      </c>
      <c r="B429" s="29">
        <f>IFERROR('WV 4.0'!B418, " ")</f>
        <v>0</v>
      </c>
      <c r="C429" s="29">
        <f>IFERROR('WV 4.0'!C418, " ")</f>
        <v>0</v>
      </c>
      <c r="D429" s="29">
        <f>IFERROR('WV 4.0'!D418, " ")</f>
        <v>0</v>
      </c>
      <c r="E429" s="29">
        <f>IFERROR('WV 4.0'!E418, " ")</f>
        <v>0</v>
      </c>
      <c r="F429" s="27">
        <f>IFERROR(ROUND(HLOOKUP(Таблица5[[#Headers],[Цена КП]],'WV 4.0'!$A:$N,ROW('WV 4.0'!418:418),0),0),"")</f>
        <v>0</v>
      </c>
      <c r="G429" s="27">
        <f>IFERROR(Таблица5[[#This Row],[Цена КП]]*Таблица5[[#This Row],[Кол-во]],"")</f>
        <v>0</v>
      </c>
      <c r="H429" s="42">
        <f>IFERROR(HLOOKUP(Таблица5[[#Headers],[Комментарии]],'WV 4.0'!$A:$N,ROW('WV 4.0'!418:418),0),"")</f>
        <v>0</v>
      </c>
      <c r="I429" s="42">
        <f>IFERROR(HLOOKUP(Таблица5[[#Headers],[Срок поставки]],'WV 4.0'!$A:$N,ROW('WV 4.0'!418:418),0),"")</f>
        <v>0</v>
      </c>
      <c r="J429" s="27" t="str">
        <f>IFERROR(HLOOKUP(Таблица5[[#Headers],[Цена КазНИИСА]],'WV 4.0'!$A:$N,ROW('WV 4.0'!418:418),0),"")</f>
        <v/>
      </c>
      <c r="K429" s="27" t="str">
        <f>IFERROR(HLOOKUP(Таблица5[[#Headers],[Сумма КазНИИСА]],'WV 4.0'!$A:$N,ROW('WV 4.0'!418:418),0),"")</f>
        <v/>
      </c>
      <c r="L429" s="27">
        <f>IFERROR(HLOOKUP(Таблица5[[#Headers],[Код КазНИИСА]],'WV 4.0'!$A:$N,ROW('WV 4.0'!418:418),0),"")</f>
        <v>0</v>
      </c>
      <c r="M429" s="27" t="str">
        <f>IFERROR(HLOOKUP(Таблица5[[#Headers],[РРЦ в тнг]],'WV 4.0'!$A:$N,ROW('WV 4.0'!418:418),0),"")</f>
        <v/>
      </c>
      <c r="N429" s="27" t="str">
        <f>IFERROR(HLOOKUP(Таблица5[[#Headers],[Сумма РРЦ]],'WV 4.0'!$A:$N,ROW('WV 4.0'!418:418),0),"")</f>
        <v/>
      </c>
    </row>
    <row r="430" spans="1:14" x14ac:dyDescent="0.25">
      <c r="A430" s="29">
        <f>IFERROR('WV 4.0'!A419, " ")</f>
        <v>0</v>
      </c>
      <c r="B430" s="29">
        <f>IFERROR('WV 4.0'!B419, " ")</f>
        <v>0</v>
      </c>
      <c r="C430" s="29">
        <f>IFERROR('WV 4.0'!C419, " ")</f>
        <v>0</v>
      </c>
      <c r="D430" s="29">
        <f>IFERROR('WV 4.0'!D419, " ")</f>
        <v>0</v>
      </c>
      <c r="E430" s="29">
        <f>IFERROR('WV 4.0'!E419, " ")</f>
        <v>0</v>
      </c>
      <c r="F430" s="27">
        <f>IFERROR(ROUND(HLOOKUP(Таблица5[[#Headers],[Цена КП]],'WV 4.0'!$A:$N,ROW('WV 4.0'!419:419),0),0),"")</f>
        <v>0</v>
      </c>
      <c r="G430" s="27">
        <f>IFERROR(Таблица5[[#This Row],[Цена КП]]*Таблица5[[#This Row],[Кол-во]],"")</f>
        <v>0</v>
      </c>
      <c r="H430" s="42">
        <f>IFERROR(HLOOKUP(Таблица5[[#Headers],[Комментарии]],'WV 4.0'!$A:$N,ROW('WV 4.0'!419:419),0),"")</f>
        <v>0</v>
      </c>
      <c r="I430" s="42">
        <f>IFERROR(HLOOKUP(Таблица5[[#Headers],[Срок поставки]],'WV 4.0'!$A:$N,ROW('WV 4.0'!419:419),0),"")</f>
        <v>0</v>
      </c>
      <c r="J430" s="27" t="str">
        <f>IFERROR(HLOOKUP(Таблица5[[#Headers],[Цена КазНИИСА]],'WV 4.0'!$A:$N,ROW('WV 4.0'!419:419),0),"")</f>
        <v/>
      </c>
      <c r="K430" s="27" t="str">
        <f>IFERROR(HLOOKUP(Таблица5[[#Headers],[Сумма КазНИИСА]],'WV 4.0'!$A:$N,ROW('WV 4.0'!419:419),0),"")</f>
        <v/>
      </c>
      <c r="L430" s="27">
        <f>IFERROR(HLOOKUP(Таблица5[[#Headers],[Код КазНИИСА]],'WV 4.0'!$A:$N,ROW('WV 4.0'!419:419),0),"")</f>
        <v>0</v>
      </c>
      <c r="M430" s="27" t="str">
        <f>IFERROR(HLOOKUP(Таблица5[[#Headers],[РРЦ в тнг]],'WV 4.0'!$A:$N,ROW('WV 4.0'!419:419),0),"")</f>
        <v/>
      </c>
      <c r="N430" s="27" t="str">
        <f>IFERROR(HLOOKUP(Таблица5[[#Headers],[Сумма РРЦ]],'WV 4.0'!$A:$N,ROW('WV 4.0'!419:419),0),"")</f>
        <v/>
      </c>
    </row>
    <row r="431" spans="1:14" x14ac:dyDescent="0.25">
      <c r="A431" s="29">
        <f>IFERROR('WV 4.0'!A420, " ")</f>
        <v>0</v>
      </c>
      <c r="B431" s="29">
        <f>IFERROR('WV 4.0'!B420, " ")</f>
        <v>0</v>
      </c>
      <c r="C431" s="29">
        <f>IFERROR('WV 4.0'!C420, " ")</f>
        <v>0</v>
      </c>
      <c r="D431" s="29">
        <f>IFERROR('WV 4.0'!D420, " ")</f>
        <v>0</v>
      </c>
      <c r="E431" s="29">
        <f>IFERROR('WV 4.0'!E420, " ")</f>
        <v>0</v>
      </c>
      <c r="F431" s="27">
        <f>IFERROR(ROUND(HLOOKUP(Таблица5[[#Headers],[Цена КП]],'WV 4.0'!$A:$N,ROW('WV 4.0'!420:420),0),0),"")</f>
        <v>0</v>
      </c>
      <c r="G431" s="27">
        <f>IFERROR(Таблица5[[#This Row],[Цена КП]]*Таблица5[[#This Row],[Кол-во]],"")</f>
        <v>0</v>
      </c>
      <c r="H431" s="42">
        <f>IFERROR(HLOOKUP(Таблица5[[#Headers],[Комментарии]],'WV 4.0'!$A:$N,ROW('WV 4.0'!420:420),0),"")</f>
        <v>0</v>
      </c>
      <c r="I431" s="42">
        <f>IFERROR(HLOOKUP(Таблица5[[#Headers],[Срок поставки]],'WV 4.0'!$A:$N,ROW('WV 4.0'!420:420),0),"")</f>
        <v>0</v>
      </c>
      <c r="J431" s="27" t="str">
        <f>IFERROR(HLOOKUP(Таблица5[[#Headers],[Цена КазНИИСА]],'WV 4.0'!$A:$N,ROW('WV 4.0'!420:420),0),"")</f>
        <v/>
      </c>
      <c r="K431" s="27" t="str">
        <f>IFERROR(HLOOKUP(Таблица5[[#Headers],[Сумма КазНИИСА]],'WV 4.0'!$A:$N,ROW('WV 4.0'!420:420),0),"")</f>
        <v/>
      </c>
      <c r="L431" s="27">
        <f>IFERROR(HLOOKUP(Таблица5[[#Headers],[Код КазНИИСА]],'WV 4.0'!$A:$N,ROW('WV 4.0'!420:420),0),"")</f>
        <v>0</v>
      </c>
      <c r="M431" s="27" t="str">
        <f>IFERROR(HLOOKUP(Таблица5[[#Headers],[РРЦ в тнг]],'WV 4.0'!$A:$N,ROW('WV 4.0'!420:420),0),"")</f>
        <v/>
      </c>
      <c r="N431" s="27" t="str">
        <f>IFERROR(HLOOKUP(Таблица5[[#Headers],[Сумма РРЦ]],'WV 4.0'!$A:$N,ROW('WV 4.0'!420:420),0),"")</f>
        <v/>
      </c>
    </row>
    <row r="432" spans="1:14" x14ac:dyDescent="0.25">
      <c r="A432" s="29">
        <f>IFERROR('WV 4.0'!A421, " ")</f>
        <v>0</v>
      </c>
      <c r="B432" s="29">
        <f>IFERROR('WV 4.0'!B421, " ")</f>
        <v>0</v>
      </c>
      <c r="C432" s="29">
        <f>IFERROR('WV 4.0'!C421, " ")</f>
        <v>0</v>
      </c>
      <c r="D432" s="29">
        <f>IFERROR('WV 4.0'!D421, " ")</f>
        <v>0</v>
      </c>
      <c r="E432" s="29">
        <f>IFERROR('WV 4.0'!E421, " ")</f>
        <v>0</v>
      </c>
      <c r="F432" s="27">
        <f>IFERROR(ROUND(HLOOKUP(Таблица5[[#Headers],[Цена КП]],'WV 4.0'!$A:$N,ROW('WV 4.0'!421:421),0),0),"")</f>
        <v>0</v>
      </c>
      <c r="G432" s="27">
        <f>IFERROR(Таблица5[[#This Row],[Цена КП]]*Таблица5[[#This Row],[Кол-во]],"")</f>
        <v>0</v>
      </c>
      <c r="H432" s="42">
        <f>IFERROR(HLOOKUP(Таблица5[[#Headers],[Комментарии]],'WV 4.0'!$A:$N,ROW('WV 4.0'!421:421),0),"")</f>
        <v>0</v>
      </c>
      <c r="I432" s="42">
        <f>IFERROR(HLOOKUP(Таблица5[[#Headers],[Срок поставки]],'WV 4.0'!$A:$N,ROW('WV 4.0'!421:421),0),"")</f>
        <v>0</v>
      </c>
      <c r="J432" s="27" t="str">
        <f>IFERROR(HLOOKUP(Таблица5[[#Headers],[Цена КазНИИСА]],'WV 4.0'!$A:$N,ROW('WV 4.0'!421:421),0),"")</f>
        <v/>
      </c>
      <c r="K432" s="27" t="str">
        <f>IFERROR(HLOOKUP(Таблица5[[#Headers],[Сумма КазНИИСА]],'WV 4.0'!$A:$N,ROW('WV 4.0'!421:421),0),"")</f>
        <v/>
      </c>
      <c r="L432" s="27">
        <f>IFERROR(HLOOKUP(Таблица5[[#Headers],[Код КазНИИСА]],'WV 4.0'!$A:$N,ROW('WV 4.0'!421:421),0),"")</f>
        <v>0</v>
      </c>
      <c r="M432" s="27" t="str">
        <f>IFERROR(HLOOKUP(Таблица5[[#Headers],[РРЦ в тнг]],'WV 4.0'!$A:$N,ROW('WV 4.0'!421:421),0),"")</f>
        <v/>
      </c>
      <c r="N432" s="27" t="str">
        <f>IFERROR(HLOOKUP(Таблица5[[#Headers],[Сумма РРЦ]],'WV 4.0'!$A:$N,ROW('WV 4.0'!421:421),0),"")</f>
        <v/>
      </c>
    </row>
    <row r="433" spans="1:14" x14ac:dyDescent="0.25">
      <c r="A433" s="29">
        <f>IFERROR('WV 4.0'!A422, " ")</f>
        <v>0</v>
      </c>
      <c r="B433" s="29">
        <f>IFERROR('WV 4.0'!B422, " ")</f>
        <v>0</v>
      </c>
      <c r="C433" s="29">
        <f>IFERROR('WV 4.0'!C422, " ")</f>
        <v>0</v>
      </c>
      <c r="D433" s="29">
        <f>IFERROR('WV 4.0'!D422, " ")</f>
        <v>0</v>
      </c>
      <c r="E433" s="29">
        <f>IFERROR('WV 4.0'!E422, " ")</f>
        <v>0</v>
      </c>
      <c r="F433" s="27">
        <f>IFERROR(ROUND(HLOOKUP(Таблица5[[#Headers],[Цена КП]],'WV 4.0'!$A:$N,ROW('WV 4.0'!422:422),0),0),"")</f>
        <v>0</v>
      </c>
      <c r="G433" s="27">
        <f>IFERROR(Таблица5[[#This Row],[Цена КП]]*Таблица5[[#This Row],[Кол-во]],"")</f>
        <v>0</v>
      </c>
      <c r="H433" s="42">
        <f>IFERROR(HLOOKUP(Таблица5[[#Headers],[Комментарии]],'WV 4.0'!$A:$N,ROW('WV 4.0'!422:422),0),"")</f>
        <v>0</v>
      </c>
      <c r="I433" s="42">
        <f>IFERROR(HLOOKUP(Таблица5[[#Headers],[Срок поставки]],'WV 4.0'!$A:$N,ROW('WV 4.0'!422:422),0),"")</f>
        <v>0</v>
      </c>
      <c r="J433" s="27" t="str">
        <f>IFERROR(HLOOKUP(Таблица5[[#Headers],[Цена КазНИИСА]],'WV 4.0'!$A:$N,ROW('WV 4.0'!422:422),0),"")</f>
        <v/>
      </c>
      <c r="K433" s="27" t="str">
        <f>IFERROR(HLOOKUP(Таблица5[[#Headers],[Сумма КазНИИСА]],'WV 4.0'!$A:$N,ROW('WV 4.0'!422:422),0),"")</f>
        <v/>
      </c>
      <c r="L433" s="27">
        <f>IFERROR(HLOOKUP(Таблица5[[#Headers],[Код КазНИИСА]],'WV 4.0'!$A:$N,ROW('WV 4.0'!422:422),0),"")</f>
        <v>0</v>
      </c>
      <c r="M433" s="27" t="str">
        <f>IFERROR(HLOOKUP(Таблица5[[#Headers],[РРЦ в тнг]],'WV 4.0'!$A:$N,ROW('WV 4.0'!422:422),0),"")</f>
        <v/>
      </c>
      <c r="N433" s="27" t="str">
        <f>IFERROR(HLOOKUP(Таблица5[[#Headers],[Сумма РРЦ]],'WV 4.0'!$A:$N,ROW('WV 4.0'!422:422),0),"")</f>
        <v/>
      </c>
    </row>
    <row r="434" spans="1:14" x14ac:dyDescent="0.25">
      <c r="A434" s="29">
        <f>IFERROR('WV 4.0'!A423, " ")</f>
        <v>0</v>
      </c>
      <c r="B434" s="29">
        <f>IFERROR('WV 4.0'!B423, " ")</f>
        <v>0</v>
      </c>
      <c r="C434" s="29">
        <f>IFERROR('WV 4.0'!C423, " ")</f>
        <v>0</v>
      </c>
      <c r="D434" s="29">
        <f>IFERROR('WV 4.0'!D423, " ")</f>
        <v>0</v>
      </c>
      <c r="E434" s="29">
        <f>IFERROR('WV 4.0'!E423, " ")</f>
        <v>0</v>
      </c>
      <c r="F434" s="27">
        <f>IFERROR(ROUND(HLOOKUP(Таблица5[[#Headers],[Цена КП]],'WV 4.0'!$A:$N,ROW('WV 4.0'!423:423),0),0),"")</f>
        <v>0</v>
      </c>
      <c r="G434" s="27">
        <f>IFERROR(Таблица5[[#This Row],[Цена КП]]*Таблица5[[#This Row],[Кол-во]],"")</f>
        <v>0</v>
      </c>
      <c r="H434" s="42">
        <f>IFERROR(HLOOKUP(Таблица5[[#Headers],[Комментарии]],'WV 4.0'!$A:$N,ROW('WV 4.0'!423:423),0),"")</f>
        <v>0</v>
      </c>
      <c r="I434" s="42">
        <f>IFERROR(HLOOKUP(Таблица5[[#Headers],[Срок поставки]],'WV 4.0'!$A:$N,ROW('WV 4.0'!423:423),0),"")</f>
        <v>0</v>
      </c>
      <c r="J434" s="27" t="str">
        <f>IFERROR(HLOOKUP(Таблица5[[#Headers],[Цена КазНИИСА]],'WV 4.0'!$A:$N,ROW('WV 4.0'!423:423),0),"")</f>
        <v/>
      </c>
      <c r="K434" s="27" t="str">
        <f>IFERROR(HLOOKUP(Таблица5[[#Headers],[Сумма КазНИИСА]],'WV 4.0'!$A:$N,ROW('WV 4.0'!423:423),0),"")</f>
        <v/>
      </c>
      <c r="L434" s="27">
        <f>IFERROR(HLOOKUP(Таблица5[[#Headers],[Код КазНИИСА]],'WV 4.0'!$A:$N,ROW('WV 4.0'!423:423),0),"")</f>
        <v>0</v>
      </c>
      <c r="M434" s="27" t="str">
        <f>IFERROR(HLOOKUP(Таблица5[[#Headers],[РРЦ в тнг]],'WV 4.0'!$A:$N,ROW('WV 4.0'!423:423),0),"")</f>
        <v/>
      </c>
      <c r="N434" s="27" t="str">
        <f>IFERROR(HLOOKUP(Таблица5[[#Headers],[Сумма РРЦ]],'WV 4.0'!$A:$N,ROW('WV 4.0'!423:423),0),"")</f>
        <v/>
      </c>
    </row>
    <row r="435" spans="1:14" x14ac:dyDescent="0.25">
      <c r="A435" s="29">
        <f>IFERROR('WV 4.0'!A424, " ")</f>
        <v>0</v>
      </c>
      <c r="B435" s="29">
        <f>IFERROR('WV 4.0'!B424, " ")</f>
        <v>0</v>
      </c>
      <c r="C435" s="29">
        <f>IFERROR('WV 4.0'!C424, " ")</f>
        <v>0</v>
      </c>
      <c r="D435" s="29">
        <f>IFERROR('WV 4.0'!D424, " ")</f>
        <v>0</v>
      </c>
      <c r="E435" s="29">
        <f>IFERROR('WV 4.0'!E424, " ")</f>
        <v>0</v>
      </c>
      <c r="F435" s="27">
        <f>IFERROR(ROUND(HLOOKUP(Таблица5[[#Headers],[Цена КП]],'WV 4.0'!$A:$N,ROW('WV 4.0'!424:424),0),0),"")</f>
        <v>0</v>
      </c>
      <c r="G435" s="27">
        <f>IFERROR(Таблица5[[#This Row],[Цена КП]]*Таблица5[[#This Row],[Кол-во]],"")</f>
        <v>0</v>
      </c>
      <c r="H435" s="42">
        <f>IFERROR(HLOOKUP(Таблица5[[#Headers],[Комментарии]],'WV 4.0'!$A:$N,ROW('WV 4.0'!424:424),0),"")</f>
        <v>0</v>
      </c>
      <c r="I435" s="42">
        <f>IFERROR(HLOOKUP(Таблица5[[#Headers],[Срок поставки]],'WV 4.0'!$A:$N,ROW('WV 4.0'!424:424),0),"")</f>
        <v>0</v>
      </c>
      <c r="J435" s="27" t="str">
        <f>IFERROR(HLOOKUP(Таблица5[[#Headers],[Цена КазНИИСА]],'WV 4.0'!$A:$N,ROW('WV 4.0'!424:424),0),"")</f>
        <v/>
      </c>
      <c r="K435" s="27" t="str">
        <f>IFERROR(HLOOKUP(Таблица5[[#Headers],[Сумма КазНИИСА]],'WV 4.0'!$A:$N,ROW('WV 4.0'!424:424),0),"")</f>
        <v/>
      </c>
      <c r="L435" s="27">
        <f>IFERROR(HLOOKUP(Таблица5[[#Headers],[Код КазНИИСА]],'WV 4.0'!$A:$N,ROW('WV 4.0'!424:424),0),"")</f>
        <v>0</v>
      </c>
      <c r="M435" s="27" t="str">
        <f>IFERROR(HLOOKUP(Таблица5[[#Headers],[РРЦ в тнг]],'WV 4.0'!$A:$N,ROW('WV 4.0'!424:424),0),"")</f>
        <v/>
      </c>
      <c r="N435" s="27" t="str">
        <f>IFERROR(HLOOKUP(Таблица5[[#Headers],[Сумма РРЦ]],'WV 4.0'!$A:$N,ROW('WV 4.0'!424:424),0),"")</f>
        <v/>
      </c>
    </row>
    <row r="436" spans="1:14" x14ac:dyDescent="0.25">
      <c r="A436" s="29">
        <f>IFERROR('WV 4.0'!A425, " ")</f>
        <v>0</v>
      </c>
      <c r="B436" s="29">
        <f>IFERROR('WV 4.0'!B425, " ")</f>
        <v>0</v>
      </c>
      <c r="C436" s="29">
        <f>IFERROR('WV 4.0'!C425, " ")</f>
        <v>0</v>
      </c>
      <c r="D436" s="29">
        <f>IFERROR('WV 4.0'!D425, " ")</f>
        <v>0</v>
      </c>
      <c r="E436" s="29">
        <f>IFERROR('WV 4.0'!E425, " ")</f>
        <v>0</v>
      </c>
      <c r="F436" s="27">
        <f>IFERROR(ROUND(HLOOKUP(Таблица5[[#Headers],[Цена КП]],'WV 4.0'!$A:$N,ROW('WV 4.0'!425:425),0),0),"")</f>
        <v>0</v>
      </c>
      <c r="G436" s="27">
        <f>IFERROR(Таблица5[[#This Row],[Цена КП]]*Таблица5[[#This Row],[Кол-во]],"")</f>
        <v>0</v>
      </c>
      <c r="H436" s="42">
        <f>IFERROR(HLOOKUP(Таблица5[[#Headers],[Комментарии]],'WV 4.0'!$A:$N,ROW('WV 4.0'!425:425),0),"")</f>
        <v>0</v>
      </c>
      <c r="I436" s="42">
        <f>IFERROR(HLOOKUP(Таблица5[[#Headers],[Срок поставки]],'WV 4.0'!$A:$N,ROW('WV 4.0'!425:425),0),"")</f>
        <v>0</v>
      </c>
      <c r="J436" s="27" t="str">
        <f>IFERROR(HLOOKUP(Таблица5[[#Headers],[Цена КазНИИСА]],'WV 4.0'!$A:$N,ROW('WV 4.0'!425:425),0),"")</f>
        <v/>
      </c>
      <c r="K436" s="27" t="str">
        <f>IFERROR(HLOOKUP(Таблица5[[#Headers],[Сумма КазНИИСА]],'WV 4.0'!$A:$N,ROW('WV 4.0'!425:425),0),"")</f>
        <v/>
      </c>
      <c r="L436" s="27">
        <f>IFERROR(HLOOKUP(Таблица5[[#Headers],[Код КазНИИСА]],'WV 4.0'!$A:$N,ROW('WV 4.0'!425:425),0),"")</f>
        <v>0</v>
      </c>
      <c r="M436" s="27" t="str">
        <f>IFERROR(HLOOKUP(Таблица5[[#Headers],[РРЦ в тнг]],'WV 4.0'!$A:$N,ROW('WV 4.0'!425:425),0),"")</f>
        <v/>
      </c>
      <c r="N436" s="27" t="str">
        <f>IFERROR(HLOOKUP(Таблица5[[#Headers],[Сумма РРЦ]],'WV 4.0'!$A:$N,ROW('WV 4.0'!425:425),0),"")</f>
        <v/>
      </c>
    </row>
    <row r="437" spans="1:14" x14ac:dyDescent="0.25">
      <c r="A437" s="29">
        <f>IFERROR('WV 4.0'!A426, " ")</f>
        <v>0</v>
      </c>
      <c r="B437" s="29">
        <f>IFERROR('WV 4.0'!B426, " ")</f>
        <v>0</v>
      </c>
      <c r="C437" s="29">
        <f>IFERROR('WV 4.0'!C426, " ")</f>
        <v>0</v>
      </c>
      <c r="D437" s="29">
        <f>IFERROR('WV 4.0'!D426, " ")</f>
        <v>0</v>
      </c>
      <c r="E437" s="29">
        <f>IFERROR('WV 4.0'!E426, " ")</f>
        <v>0</v>
      </c>
      <c r="F437" s="27">
        <f>IFERROR(ROUND(HLOOKUP(Таблица5[[#Headers],[Цена КП]],'WV 4.0'!$A:$N,ROW('WV 4.0'!426:426),0),0),"")</f>
        <v>0</v>
      </c>
      <c r="G437" s="27">
        <f>IFERROR(Таблица5[[#This Row],[Цена КП]]*Таблица5[[#This Row],[Кол-во]],"")</f>
        <v>0</v>
      </c>
      <c r="H437" s="42">
        <f>IFERROR(HLOOKUP(Таблица5[[#Headers],[Комментарии]],'WV 4.0'!$A:$N,ROW('WV 4.0'!426:426),0),"")</f>
        <v>0</v>
      </c>
      <c r="I437" s="42">
        <f>IFERROR(HLOOKUP(Таблица5[[#Headers],[Срок поставки]],'WV 4.0'!$A:$N,ROW('WV 4.0'!426:426),0),"")</f>
        <v>0</v>
      </c>
      <c r="J437" s="27" t="str">
        <f>IFERROR(HLOOKUP(Таблица5[[#Headers],[Цена КазНИИСА]],'WV 4.0'!$A:$N,ROW('WV 4.0'!426:426),0),"")</f>
        <v/>
      </c>
      <c r="K437" s="27" t="str">
        <f>IFERROR(HLOOKUP(Таблица5[[#Headers],[Сумма КазНИИСА]],'WV 4.0'!$A:$N,ROW('WV 4.0'!426:426),0),"")</f>
        <v/>
      </c>
      <c r="L437" s="27">
        <f>IFERROR(HLOOKUP(Таблица5[[#Headers],[Код КазНИИСА]],'WV 4.0'!$A:$N,ROW('WV 4.0'!426:426),0),"")</f>
        <v>0</v>
      </c>
      <c r="M437" s="27" t="str">
        <f>IFERROR(HLOOKUP(Таблица5[[#Headers],[РРЦ в тнг]],'WV 4.0'!$A:$N,ROW('WV 4.0'!426:426),0),"")</f>
        <v/>
      </c>
      <c r="N437" s="27" t="str">
        <f>IFERROR(HLOOKUP(Таблица5[[#Headers],[Сумма РРЦ]],'WV 4.0'!$A:$N,ROW('WV 4.0'!426:426),0),"")</f>
        <v/>
      </c>
    </row>
    <row r="438" spans="1:14" x14ac:dyDescent="0.25">
      <c r="A438" s="29">
        <f>IFERROR('WV 4.0'!A427, " ")</f>
        <v>0</v>
      </c>
      <c r="B438" s="29">
        <f>IFERROR('WV 4.0'!B427, " ")</f>
        <v>0</v>
      </c>
      <c r="C438" s="29">
        <f>IFERROR('WV 4.0'!C427, " ")</f>
        <v>0</v>
      </c>
      <c r="D438" s="29">
        <f>IFERROR('WV 4.0'!D427, " ")</f>
        <v>0</v>
      </c>
      <c r="E438" s="29">
        <f>IFERROR('WV 4.0'!E427, " ")</f>
        <v>0</v>
      </c>
      <c r="F438" s="27">
        <f>IFERROR(ROUND(HLOOKUP(Таблица5[[#Headers],[Цена КП]],'WV 4.0'!$A:$N,ROW('WV 4.0'!427:427),0),0),"")</f>
        <v>0</v>
      </c>
      <c r="G438" s="27">
        <f>IFERROR(Таблица5[[#This Row],[Цена КП]]*Таблица5[[#This Row],[Кол-во]],"")</f>
        <v>0</v>
      </c>
      <c r="H438" s="42">
        <f>IFERROR(HLOOKUP(Таблица5[[#Headers],[Комментарии]],'WV 4.0'!$A:$N,ROW('WV 4.0'!427:427),0),"")</f>
        <v>0</v>
      </c>
      <c r="I438" s="42">
        <f>IFERROR(HLOOKUP(Таблица5[[#Headers],[Срок поставки]],'WV 4.0'!$A:$N,ROW('WV 4.0'!427:427),0),"")</f>
        <v>0</v>
      </c>
      <c r="J438" s="27" t="str">
        <f>IFERROR(HLOOKUP(Таблица5[[#Headers],[Цена КазНИИСА]],'WV 4.0'!$A:$N,ROW('WV 4.0'!427:427),0),"")</f>
        <v/>
      </c>
      <c r="K438" s="27" t="str">
        <f>IFERROR(HLOOKUP(Таблица5[[#Headers],[Сумма КазНИИСА]],'WV 4.0'!$A:$N,ROW('WV 4.0'!427:427),0),"")</f>
        <v/>
      </c>
      <c r="L438" s="27">
        <f>IFERROR(HLOOKUP(Таблица5[[#Headers],[Код КазНИИСА]],'WV 4.0'!$A:$N,ROW('WV 4.0'!427:427),0),"")</f>
        <v>0</v>
      </c>
      <c r="M438" s="27" t="str">
        <f>IFERROR(HLOOKUP(Таблица5[[#Headers],[РРЦ в тнг]],'WV 4.0'!$A:$N,ROW('WV 4.0'!427:427),0),"")</f>
        <v/>
      </c>
      <c r="N438" s="27" t="str">
        <f>IFERROR(HLOOKUP(Таблица5[[#Headers],[Сумма РРЦ]],'WV 4.0'!$A:$N,ROW('WV 4.0'!427:427),0),"")</f>
        <v/>
      </c>
    </row>
    <row r="439" spans="1:14" x14ac:dyDescent="0.25">
      <c r="A439" s="29">
        <f>IFERROR('WV 4.0'!A428, " ")</f>
        <v>0</v>
      </c>
      <c r="B439" s="29">
        <f>IFERROR('WV 4.0'!B428, " ")</f>
        <v>0</v>
      </c>
      <c r="C439" s="29">
        <f>IFERROR('WV 4.0'!C428, " ")</f>
        <v>0</v>
      </c>
      <c r="D439" s="29">
        <f>IFERROR('WV 4.0'!D428, " ")</f>
        <v>0</v>
      </c>
      <c r="E439" s="29">
        <f>IFERROR('WV 4.0'!E428, " ")</f>
        <v>0</v>
      </c>
      <c r="F439" s="27">
        <f>IFERROR(ROUND(HLOOKUP(Таблица5[[#Headers],[Цена КП]],'WV 4.0'!$A:$N,ROW('WV 4.0'!428:428),0),0),"")</f>
        <v>0</v>
      </c>
      <c r="G439" s="27">
        <f>IFERROR(Таблица5[[#This Row],[Цена КП]]*Таблица5[[#This Row],[Кол-во]],"")</f>
        <v>0</v>
      </c>
      <c r="H439" s="42">
        <f>IFERROR(HLOOKUP(Таблица5[[#Headers],[Комментарии]],'WV 4.0'!$A:$N,ROW('WV 4.0'!428:428),0),"")</f>
        <v>0</v>
      </c>
      <c r="I439" s="42">
        <f>IFERROR(HLOOKUP(Таблица5[[#Headers],[Срок поставки]],'WV 4.0'!$A:$N,ROW('WV 4.0'!428:428),0),"")</f>
        <v>0</v>
      </c>
      <c r="J439" s="27" t="str">
        <f>IFERROR(HLOOKUP(Таблица5[[#Headers],[Цена КазНИИСА]],'WV 4.0'!$A:$N,ROW('WV 4.0'!428:428),0),"")</f>
        <v/>
      </c>
      <c r="K439" s="27" t="str">
        <f>IFERROR(HLOOKUP(Таблица5[[#Headers],[Сумма КазНИИСА]],'WV 4.0'!$A:$N,ROW('WV 4.0'!428:428),0),"")</f>
        <v/>
      </c>
      <c r="L439" s="27">
        <f>IFERROR(HLOOKUP(Таблица5[[#Headers],[Код КазНИИСА]],'WV 4.0'!$A:$N,ROW('WV 4.0'!428:428),0),"")</f>
        <v>0</v>
      </c>
      <c r="M439" s="27" t="str">
        <f>IFERROR(HLOOKUP(Таблица5[[#Headers],[РРЦ в тнг]],'WV 4.0'!$A:$N,ROW('WV 4.0'!428:428),0),"")</f>
        <v/>
      </c>
      <c r="N439" s="27" t="str">
        <f>IFERROR(HLOOKUP(Таблица5[[#Headers],[Сумма РРЦ]],'WV 4.0'!$A:$N,ROW('WV 4.0'!428:428),0),"")</f>
        <v/>
      </c>
    </row>
    <row r="440" spans="1:14" x14ac:dyDescent="0.25">
      <c r="A440" s="29">
        <f>IFERROR('WV 4.0'!A429, " ")</f>
        <v>0</v>
      </c>
      <c r="B440" s="29">
        <f>IFERROR('WV 4.0'!B429, " ")</f>
        <v>0</v>
      </c>
      <c r="C440" s="29">
        <f>IFERROR('WV 4.0'!C429, " ")</f>
        <v>0</v>
      </c>
      <c r="D440" s="29">
        <f>IFERROR('WV 4.0'!D429, " ")</f>
        <v>0</v>
      </c>
      <c r="E440" s="29">
        <f>IFERROR('WV 4.0'!E429, " ")</f>
        <v>0</v>
      </c>
      <c r="F440" s="27">
        <f>IFERROR(ROUND(HLOOKUP(Таблица5[[#Headers],[Цена КП]],'WV 4.0'!$A:$N,ROW('WV 4.0'!429:429),0),0),"")</f>
        <v>0</v>
      </c>
      <c r="G440" s="27">
        <f>IFERROR(Таблица5[[#This Row],[Цена КП]]*Таблица5[[#This Row],[Кол-во]],"")</f>
        <v>0</v>
      </c>
      <c r="H440" s="42">
        <f>IFERROR(HLOOKUP(Таблица5[[#Headers],[Комментарии]],'WV 4.0'!$A:$N,ROW('WV 4.0'!429:429),0),"")</f>
        <v>0</v>
      </c>
      <c r="I440" s="42">
        <f>IFERROR(HLOOKUP(Таблица5[[#Headers],[Срок поставки]],'WV 4.0'!$A:$N,ROW('WV 4.0'!429:429),0),"")</f>
        <v>0</v>
      </c>
      <c r="J440" s="27" t="str">
        <f>IFERROR(HLOOKUP(Таблица5[[#Headers],[Цена КазНИИСА]],'WV 4.0'!$A:$N,ROW('WV 4.0'!429:429),0),"")</f>
        <v/>
      </c>
      <c r="K440" s="27" t="str">
        <f>IFERROR(HLOOKUP(Таблица5[[#Headers],[Сумма КазНИИСА]],'WV 4.0'!$A:$N,ROW('WV 4.0'!429:429),0),"")</f>
        <v/>
      </c>
      <c r="L440" s="27">
        <f>IFERROR(HLOOKUP(Таблица5[[#Headers],[Код КазНИИСА]],'WV 4.0'!$A:$N,ROW('WV 4.0'!429:429),0),"")</f>
        <v>0</v>
      </c>
      <c r="M440" s="27" t="str">
        <f>IFERROR(HLOOKUP(Таблица5[[#Headers],[РРЦ в тнг]],'WV 4.0'!$A:$N,ROW('WV 4.0'!429:429),0),"")</f>
        <v/>
      </c>
      <c r="N440" s="27" t="str">
        <f>IFERROR(HLOOKUP(Таблица5[[#Headers],[Сумма РРЦ]],'WV 4.0'!$A:$N,ROW('WV 4.0'!429:429),0),"")</f>
        <v/>
      </c>
    </row>
    <row r="441" spans="1:14" x14ac:dyDescent="0.25">
      <c r="A441" s="29">
        <f>IFERROR('WV 4.0'!A430, " ")</f>
        <v>0</v>
      </c>
      <c r="B441" s="29">
        <f>IFERROR('WV 4.0'!B430, " ")</f>
        <v>0</v>
      </c>
      <c r="C441" s="29">
        <f>IFERROR('WV 4.0'!C430, " ")</f>
        <v>0</v>
      </c>
      <c r="D441" s="29">
        <f>IFERROR('WV 4.0'!D430, " ")</f>
        <v>0</v>
      </c>
      <c r="E441" s="29">
        <f>IFERROR('WV 4.0'!E430, " ")</f>
        <v>0</v>
      </c>
      <c r="F441" s="27">
        <f>IFERROR(ROUND(HLOOKUP(Таблица5[[#Headers],[Цена КП]],'WV 4.0'!$A:$N,ROW('WV 4.0'!430:430),0),0),"")</f>
        <v>0</v>
      </c>
      <c r="G441" s="27">
        <f>IFERROR(Таблица5[[#This Row],[Цена КП]]*Таблица5[[#This Row],[Кол-во]],"")</f>
        <v>0</v>
      </c>
      <c r="H441" s="42">
        <f>IFERROR(HLOOKUP(Таблица5[[#Headers],[Комментарии]],'WV 4.0'!$A:$N,ROW('WV 4.0'!430:430),0),"")</f>
        <v>0</v>
      </c>
      <c r="I441" s="42">
        <f>IFERROR(HLOOKUP(Таблица5[[#Headers],[Срок поставки]],'WV 4.0'!$A:$N,ROW('WV 4.0'!430:430),0),"")</f>
        <v>0</v>
      </c>
      <c r="J441" s="27" t="str">
        <f>IFERROR(HLOOKUP(Таблица5[[#Headers],[Цена КазНИИСА]],'WV 4.0'!$A:$N,ROW('WV 4.0'!430:430),0),"")</f>
        <v/>
      </c>
      <c r="K441" s="27" t="str">
        <f>IFERROR(HLOOKUP(Таблица5[[#Headers],[Сумма КазНИИСА]],'WV 4.0'!$A:$N,ROW('WV 4.0'!430:430),0),"")</f>
        <v/>
      </c>
      <c r="L441" s="27">
        <f>IFERROR(HLOOKUP(Таблица5[[#Headers],[Код КазНИИСА]],'WV 4.0'!$A:$N,ROW('WV 4.0'!430:430),0),"")</f>
        <v>0</v>
      </c>
      <c r="M441" s="27" t="str">
        <f>IFERROR(HLOOKUP(Таблица5[[#Headers],[РРЦ в тнг]],'WV 4.0'!$A:$N,ROW('WV 4.0'!430:430),0),"")</f>
        <v/>
      </c>
      <c r="N441" s="27" t="str">
        <f>IFERROR(HLOOKUP(Таблица5[[#Headers],[Сумма РРЦ]],'WV 4.0'!$A:$N,ROW('WV 4.0'!430:430),0),"")</f>
        <v/>
      </c>
    </row>
    <row r="442" spans="1:14" x14ac:dyDescent="0.25">
      <c r="A442" s="29">
        <f>IFERROR('WV 4.0'!A431, " ")</f>
        <v>0</v>
      </c>
      <c r="B442" s="29">
        <f>IFERROR('WV 4.0'!B431, " ")</f>
        <v>0</v>
      </c>
      <c r="C442" s="29">
        <f>IFERROR('WV 4.0'!C431, " ")</f>
        <v>0</v>
      </c>
      <c r="D442" s="29">
        <f>IFERROR('WV 4.0'!D431, " ")</f>
        <v>0</v>
      </c>
      <c r="E442" s="29">
        <f>IFERROR('WV 4.0'!E431, " ")</f>
        <v>0</v>
      </c>
      <c r="F442" s="27">
        <f>IFERROR(ROUND(HLOOKUP(Таблица5[[#Headers],[Цена КП]],'WV 4.0'!$A:$N,ROW('WV 4.0'!431:431),0),0),"")</f>
        <v>0</v>
      </c>
      <c r="G442" s="27">
        <f>IFERROR(Таблица5[[#This Row],[Цена КП]]*Таблица5[[#This Row],[Кол-во]],"")</f>
        <v>0</v>
      </c>
      <c r="H442" s="42">
        <f>IFERROR(HLOOKUP(Таблица5[[#Headers],[Комментарии]],'WV 4.0'!$A:$N,ROW('WV 4.0'!431:431),0),"")</f>
        <v>0</v>
      </c>
      <c r="I442" s="42">
        <f>IFERROR(HLOOKUP(Таблица5[[#Headers],[Срок поставки]],'WV 4.0'!$A:$N,ROW('WV 4.0'!431:431),0),"")</f>
        <v>0</v>
      </c>
      <c r="J442" s="27" t="str">
        <f>IFERROR(HLOOKUP(Таблица5[[#Headers],[Цена КазНИИСА]],'WV 4.0'!$A:$N,ROW('WV 4.0'!431:431),0),"")</f>
        <v/>
      </c>
      <c r="K442" s="27" t="str">
        <f>IFERROR(HLOOKUP(Таблица5[[#Headers],[Сумма КазНИИСА]],'WV 4.0'!$A:$N,ROW('WV 4.0'!431:431),0),"")</f>
        <v/>
      </c>
      <c r="L442" s="27">
        <f>IFERROR(HLOOKUP(Таблица5[[#Headers],[Код КазНИИСА]],'WV 4.0'!$A:$N,ROW('WV 4.0'!431:431),0),"")</f>
        <v>0</v>
      </c>
      <c r="M442" s="27" t="str">
        <f>IFERROR(HLOOKUP(Таблица5[[#Headers],[РРЦ в тнг]],'WV 4.0'!$A:$N,ROW('WV 4.0'!431:431),0),"")</f>
        <v/>
      </c>
      <c r="N442" s="27" t="str">
        <f>IFERROR(HLOOKUP(Таблица5[[#Headers],[Сумма РРЦ]],'WV 4.0'!$A:$N,ROW('WV 4.0'!431:431),0),"")</f>
        <v/>
      </c>
    </row>
    <row r="443" spans="1:14" x14ac:dyDescent="0.25">
      <c r="A443" s="29">
        <f>IFERROR('WV 4.0'!A432, " ")</f>
        <v>0</v>
      </c>
      <c r="B443" s="29">
        <f>IFERROR('WV 4.0'!B432, " ")</f>
        <v>0</v>
      </c>
      <c r="C443" s="29">
        <f>IFERROR('WV 4.0'!C432, " ")</f>
        <v>0</v>
      </c>
      <c r="D443" s="29">
        <f>IFERROR('WV 4.0'!D432, " ")</f>
        <v>0</v>
      </c>
      <c r="E443" s="29">
        <f>IFERROR('WV 4.0'!E432, " ")</f>
        <v>0</v>
      </c>
      <c r="F443" s="27">
        <f>IFERROR(ROUND(HLOOKUP(Таблица5[[#Headers],[Цена КП]],'WV 4.0'!$A:$N,ROW('WV 4.0'!432:432),0),0),"")</f>
        <v>0</v>
      </c>
      <c r="G443" s="27">
        <f>IFERROR(Таблица5[[#This Row],[Цена КП]]*Таблица5[[#This Row],[Кол-во]],"")</f>
        <v>0</v>
      </c>
      <c r="H443" s="42">
        <f>IFERROR(HLOOKUP(Таблица5[[#Headers],[Комментарии]],'WV 4.0'!$A:$N,ROW('WV 4.0'!432:432),0),"")</f>
        <v>0</v>
      </c>
      <c r="I443" s="42">
        <f>IFERROR(HLOOKUP(Таблица5[[#Headers],[Срок поставки]],'WV 4.0'!$A:$N,ROW('WV 4.0'!432:432),0),"")</f>
        <v>0</v>
      </c>
      <c r="J443" s="27" t="str">
        <f>IFERROR(HLOOKUP(Таблица5[[#Headers],[Цена КазНИИСА]],'WV 4.0'!$A:$N,ROW('WV 4.0'!432:432),0),"")</f>
        <v/>
      </c>
      <c r="K443" s="27" t="str">
        <f>IFERROR(HLOOKUP(Таблица5[[#Headers],[Сумма КазНИИСА]],'WV 4.0'!$A:$N,ROW('WV 4.0'!432:432),0),"")</f>
        <v/>
      </c>
      <c r="L443" s="27">
        <f>IFERROR(HLOOKUP(Таблица5[[#Headers],[Код КазНИИСА]],'WV 4.0'!$A:$N,ROW('WV 4.0'!432:432),0),"")</f>
        <v>0</v>
      </c>
      <c r="M443" s="27" t="str">
        <f>IFERROR(HLOOKUP(Таблица5[[#Headers],[РРЦ в тнг]],'WV 4.0'!$A:$N,ROW('WV 4.0'!432:432),0),"")</f>
        <v/>
      </c>
      <c r="N443" s="27" t="str">
        <f>IFERROR(HLOOKUP(Таблица5[[#Headers],[Сумма РРЦ]],'WV 4.0'!$A:$N,ROW('WV 4.0'!432:432),0),"")</f>
        <v/>
      </c>
    </row>
    <row r="444" spans="1:14" x14ac:dyDescent="0.25">
      <c r="A444" s="29">
        <f>IFERROR('WV 4.0'!A433, " ")</f>
        <v>0</v>
      </c>
      <c r="B444" s="29">
        <f>IFERROR('WV 4.0'!B433, " ")</f>
        <v>0</v>
      </c>
      <c r="C444" s="29">
        <f>IFERROR('WV 4.0'!C433, " ")</f>
        <v>0</v>
      </c>
      <c r="D444" s="29">
        <f>IFERROR('WV 4.0'!D433, " ")</f>
        <v>0</v>
      </c>
      <c r="E444" s="29">
        <f>IFERROR('WV 4.0'!E433, " ")</f>
        <v>0</v>
      </c>
      <c r="F444" s="27">
        <f>IFERROR(ROUND(HLOOKUP(Таблица5[[#Headers],[Цена КП]],'WV 4.0'!$A:$N,ROW('WV 4.0'!433:433),0),0),"")</f>
        <v>0</v>
      </c>
      <c r="G444" s="27">
        <f>IFERROR(Таблица5[[#This Row],[Цена КП]]*Таблица5[[#This Row],[Кол-во]],"")</f>
        <v>0</v>
      </c>
      <c r="H444" s="42">
        <f>IFERROR(HLOOKUP(Таблица5[[#Headers],[Комментарии]],'WV 4.0'!$A:$N,ROW('WV 4.0'!433:433),0),"")</f>
        <v>0</v>
      </c>
      <c r="I444" s="42">
        <f>IFERROR(HLOOKUP(Таблица5[[#Headers],[Срок поставки]],'WV 4.0'!$A:$N,ROW('WV 4.0'!433:433),0),"")</f>
        <v>0</v>
      </c>
      <c r="J444" s="27" t="str">
        <f>IFERROR(HLOOKUP(Таблица5[[#Headers],[Цена КазНИИСА]],'WV 4.0'!$A:$N,ROW('WV 4.0'!433:433),0),"")</f>
        <v/>
      </c>
      <c r="K444" s="27" t="str">
        <f>IFERROR(HLOOKUP(Таблица5[[#Headers],[Сумма КазНИИСА]],'WV 4.0'!$A:$N,ROW('WV 4.0'!433:433),0),"")</f>
        <v/>
      </c>
      <c r="L444" s="27">
        <f>IFERROR(HLOOKUP(Таблица5[[#Headers],[Код КазНИИСА]],'WV 4.0'!$A:$N,ROW('WV 4.0'!433:433),0),"")</f>
        <v>0</v>
      </c>
      <c r="M444" s="27" t="str">
        <f>IFERROR(HLOOKUP(Таблица5[[#Headers],[РРЦ в тнг]],'WV 4.0'!$A:$N,ROW('WV 4.0'!433:433),0),"")</f>
        <v/>
      </c>
      <c r="N444" s="27" t="str">
        <f>IFERROR(HLOOKUP(Таблица5[[#Headers],[Сумма РРЦ]],'WV 4.0'!$A:$N,ROW('WV 4.0'!433:433),0),"")</f>
        <v/>
      </c>
    </row>
    <row r="445" spans="1:14" x14ac:dyDescent="0.25">
      <c r="A445" s="29">
        <f>IFERROR('WV 4.0'!A434, " ")</f>
        <v>0</v>
      </c>
      <c r="B445" s="29">
        <f>IFERROR('WV 4.0'!B434, " ")</f>
        <v>0</v>
      </c>
      <c r="C445" s="29">
        <f>IFERROR('WV 4.0'!C434, " ")</f>
        <v>0</v>
      </c>
      <c r="D445" s="29">
        <f>IFERROR('WV 4.0'!D434, " ")</f>
        <v>0</v>
      </c>
      <c r="E445" s="29">
        <f>IFERROR('WV 4.0'!E434, " ")</f>
        <v>0</v>
      </c>
      <c r="F445" s="27">
        <f>IFERROR(ROUND(HLOOKUP(Таблица5[[#Headers],[Цена КП]],'WV 4.0'!$A:$N,ROW('WV 4.0'!434:434),0),0),"")</f>
        <v>0</v>
      </c>
      <c r="G445" s="27">
        <f>IFERROR(Таблица5[[#This Row],[Цена КП]]*Таблица5[[#This Row],[Кол-во]],"")</f>
        <v>0</v>
      </c>
      <c r="H445" s="42">
        <f>IFERROR(HLOOKUP(Таблица5[[#Headers],[Комментарии]],'WV 4.0'!$A:$N,ROW('WV 4.0'!434:434),0),"")</f>
        <v>0</v>
      </c>
      <c r="I445" s="42">
        <f>IFERROR(HLOOKUP(Таблица5[[#Headers],[Срок поставки]],'WV 4.0'!$A:$N,ROW('WV 4.0'!434:434),0),"")</f>
        <v>0</v>
      </c>
      <c r="J445" s="27" t="str">
        <f>IFERROR(HLOOKUP(Таблица5[[#Headers],[Цена КазНИИСА]],'WV 4.0'!$A:$N,ROW('WV 4.0'!434:434),0),"")</f>
        <v/>
      </c>
      <c r="K445" s="27" t="str">
        <f>IFERROR(HLOOKUP(Таблица5[[#Headers],[Сумма КазНИИСА]],'WV 4.0'!$A:$N,ROW('WV 4.0'!434:434),0),"")</f>
        <v/>
      </c>
      <c r="L445" s="27">
        <f>IFERROR(HLOOKUP(Таблица5[[#Headers],[Код КазНИИСА]],'WV 4.0'!$A:$N,ROW('WV 4.0'!434:434),0),"")</f>
        <v>0</v>
      </c>
      <c r="M445" s="27" t="str">
        <f>IFERROR(HLOOKUP(Таблица5[[#Headers],[РРЦ в тнг]],'WV 4.0'!$A:$N,ROW('WV 4.0'!434:434),0),"")</f>
        <v/>
      </c>
      <c r="N445" s="27" t="str">
        <f>IFERROR(HLOOKUP(Таблица5[[#Headers],[Сумма РРЦ]],'WV 4.0'!$A:$N,ROW('WV 4.0'!434:434),0),"")</f>
        <v/>
      </c>
    </row>
    <row r="446" spans="1:14" x14ac:dyDescent="0.25">
      <c r="A446" s="29">
        <f>IFERROR('WV 4.0'!A435, " ")</f>
        <v>0</v>
      </c>
      <c r="B446" s="29">
        <f>IFERROR('WV 4.0'!B435, " ")</f>
        <v>0</v>
      </c>
      <c r="C446" s="29">
        <f>IFERROR('WV 4.0'!C435, " ")</f>
        <v>0</v>
      </c>
      <c r="D446" s="29">
        <f>IFERROR('WV 4.0'!D435, " ")</f>
        <v>0</v>
      </c>
      <c r="E446" s="29">
        <f>IFERROR('WV 4.0'!E435, " ")</f>
        <v>0</v>
      </c>
      <c r="F446" s="27">
        <f>IFERROR(ROUND(HLOOKUP(Таблица5[[#Headers],[Цена КП]],'WV 4.0'!$A:$N,ROW('WV 4.0'!435:435),0),0),"")</f>
        <v>0</v>
      </c>
      <c r="G446" s="27">
        <f>IFERROR(Таблица5[[#This Row],[Цена КП]]*Таблица5[[#This Row],[Кол-во]],"")</f>
        <v>0</v>
      </c>
      <c r="H446" s="42">
        <f>IFERROR(HLOOKUP(Таблица5[[#Headers],[Комментарии]],'WV 4.0'!$A:$N,ROW('WV 4.0'!435:435),0),"")</f>
        <v>0</v>
      </c>
      <c r="I446" s="42">
        <f>IFERROR(HLOOKUP(Таблица5[[#Headers],[Срок поставки]],'WV 4.0'!$A:$N,ROW('WV 4.0'!435:435),0),"")</f>
        <v>0</v>
      </c>
      <c r="J446" s="27" t="str">
        <f>IFERROR(HLOOKUP(Таблица5[[#Headers],[Цена КазНИИСА]],'WV 4.0'!$A:$N,ROW('WV 4.0'!435:435),0),"")</f>
        <v/>
      </c>
      <c r="K446" s="27" t="str">
        <f>IFERROR(HLOOKUP(Таблица5[[#Headers],[Сумма КазНИИСА]],'WV 4.0'!$A:$N,ROW('WV 4.0'!435:435),0),"")</f>
        <v/>
      </c>
      <c r="L446" s="27">
        <f>IFERROR(HLOOKUP(Таблица5[[#Headers],[Код КазНИИСА]],'WV 4.0'!$A:$N,ROW('WV 4.0'!435:435),0),"")</f>
        <v>0</v>
      </c>
      <c r="M446" s="27" t="str">
        <f>IFERROR(HLOOKUP(Таблица5[[#Headers],[РРЦ в тнг]],'WV 4.0'!$A:$N,ROW('WV 4.0'!435:435),0),"")</f>
        <v/>
      </c>
      <c r="N446" s="27" t="str">
        <f>IFERROR(HLOOKUP(Таблица5[[#Headers],[Сумма РРЦ]],'WV 4.0'!$A:$N,ROW('WV 4.0'!435:435),0),"")</f>
        <v/>
      </c>
    </row>
    <row r="447" spans="1:14" x14ac:dyDescent="0.25">
      <c r="A447" s="29">
        <f>IFERROR('WV 4.0'!A436, " ")</f>
        <v>0</v>
      </c>
      <c r="B447" s="29">
        <f>IFERROR('WV 4.0'!B436, " ")</f>
        <v>0</v>
      </c>
      <c r="C447" s="29">
        <f>IFERROR('WV 4.0'!C436, " ")</f>
        <v>0</v>
      </c>
      <c r="D447" s="29">
        <f>IFERROR('WV 4.0'!D436, " ")</f>
        <v>0</v>
      </c>
      <c r="E447" s="29">
        <f>IFERROR('WV 4.0'!E436, " ")</f>
        <v>0</v>
      </c>
      <c r="F447" s="27">
        <f>IFERROR(ROUND(HLOOKUP(Таблица5[[#Headers],[Цена КП]],'WV 4.0'!$A:$N,ROW('WV 4.0'!436:436),0),0),"")</f>
        <v>0</v>
      </c>
      <c r="G447" s="27">
        <f>IFERROR(Таблица5[[#This Row],[Цена КП]]*Таблица5[[#This Row],[Кол-во]],"")</f>
        <v>0</v>
      </c>
      <c r="H447" s="42">
        <f>IFERROR(HLOOKUP(Таблица5[[#Headers],[Комментарии]],'WV 4.0'!$A:$N,ROW('WV 4.0'!436:436),0),"")</f>
        <v>0</v>
      </c>
      <c r="I447" s="42">
        <f>IFERROR(HLOOKUP(Таблица5[[#Headers],[Срок поставки]],'WV 4.0'!$A:$N,ROW('WV 4.0'!436:436),0),"")</f>
        <v>0</v>
      </c>
      <c r="J447" s="27" t="str">
        <f>IFERROR(HLOOKUP(Таблица5[[#Headers],[Цена КазНИИСА]],'WV 4.0'!$A:$N,ROW('WV 4.0'!436:436),0),"")</f>
        <v/>
      </c>
      <c r="K447" s="27" t="str">
        <f>IFERROR(HLOOKUP(Таблица5[[#Headers],[Сумма КазНИИСА]],'WV 4.0'!$A:$N,ROW('WV 4.0'!436:436),0),"")</f>
        <v/>
      </c>
      <c r="L447" s="27">
        <f>IFERROR(HLOOKUP(Таблица5[[#Headers],[Код КазНИИСА]],'WV 4.0'!$A:$N,ROW('WV 4.0'!436:436),0),"")</f>
        <v>0</v>
      </c>
      <c r="M447" s="27" t="str">
        <f>IFERROR(HLOOKUP(Таблица5[[#Headers],[РРЦ в тнг]],'WV 4.0'!$A:$N,ROW('WV 4.0'!436:436),0),"")</f>
        <v/>
      </c>
      <c r="N447" s="27" t="str">
        <f>IFERROR(HLOOKUP(Таблица5[[#Headers],[Сумма РРЦ]],'WV 4.0'!$A:$N,ROW('WV 4.0'!436:436),0),"")</f>
        <v/>
      </c>
    </row>
    <row r="448" spans="1:14" x14ac:dyDescent="0.25">
      <c r="A448" s="29">
        <f>IFERROR('WV 4.0'!A437, " ")</f>
        <v>0</v>
      </c>
      <c r="B448" s="29">
        <f>IFERROR('WV 4.0'!B437, " ")</f>
        <v>0</v>
      </c>
      <c r="C448" s="29">
        <f>IFERROR('WV 4.0'!C437, " ")</f>
        <v>0</v>
      </c>
      <c r="D448" s="29">
        <f>IFERROR('WV 4.0'!D437, " ")</f>
        <v>0</v>
      </c>
      <c r="E448" s="29">
        <f>IFERROR('WV 4.0'!E437, " ")</f>
        <v>0</v>
      </c>
      <c r="F448" s="27">
        <f>IFERROR(ROUND(HLOOKUP(Таблица5[[#Headers],[Цена КП]],'WV 4.0'!$A:$N,ROW('WV 4.0'!437:437),0),0),"")</f>
        <v>0</v>
      </c>
      <c r="G448" s="27">
        <f>IFERROR(Таблица5[[#This Row],[Цена КП]]*Таблица5[[#This Row],[Кол-во]],"")</f>
        <v>0</v>
      </c>
      <c r="H448" s="42">
        <f>IFERROR(HLOOKUP(Таблица5[[#Headers],[Комментарии]],'WV 4.0'!$A:$N,ROW('WV 4.0'!437:437),0),"")</f>
        <v>0</v>
      </c>
      <c r="I448" s="42">
        <f>IFERROR(HLOOKUP(Таблица5[[#Headers],[Срок поставки]],'WV 4.0'!$A:$N,ROW('WV 4.0'!437:437),0),"")</f>
        <v>0</v>
      </c>
      <c r="J448" s="27" t="str">
        <f>IFERROR(HLOOKUP(Таблица5[[#Headers],[Цена КазНИИСА]],'WV 4.0'!$A:$N,ROW('WV 4.0'!437:437),0),"")</f>
        <v/>
      </c>
      <c r="K448" s="27" t="str">
        <f>IFERROR(HLOOKUP(Таблица5[[#Headers],[Сумма КазНИИСА]],'WV 4.0'!$A:$N,ROW('WV 4.0'!437:437),0),"")</f>
        <v/>
      </c>
      <c r="L448" s="27">
        <f>IFERROR(HLOOKUP(Таблица5[[#Headers],[Код КазНИИСА]],'WV 4.0'!$A:$N,ROW('WV 4.0'!437:437),0),"")</f>
        <v>0</v>
      </c>
      <c r="M448" s="27" t="str">
        <f>IFERROR(HLOOKUP(Таблица5[[#Headers],[РРЦ в тнг]],'WV 4.0'!$A:$N,ROW('WV 4.0'!437:437),0),"")</f>
        <v/>
      </c>
      <c r="N448" s="27" t="str">
        <f>IFERROR(HLOOKUP(Таблица5[[#Headers],[Сумма РРЦ]],'WV 4.0'!$A:$N,ROW('WV 4.0'!437:437),0),"")</f>
        <v/>
      </c>
    </row>
    <row r="449" spans="1:14" x14ac:dyDescent="0.25">
      <c r="A449" s="29">
        <f>IFERROR('WV 4.0'!A438, " ")</f>
        <v>0</v>
      </c>
      <c r="B449" s="29">
        <f>IFERROR('WV 4.0'!B438, " ")</f>
        <v>0</v>
      </c>
      <c r="C449" s="29">
        <f>IFERROR('WV 4.0'!C438, " ")</f>
        <v>0</v>
      </c>
      <c r="D449" s="29">
        <f>IFERROR('WV 4.0'!D438, " ")</f>
        <v>0</v>
      </c>
      <c r="E449" s="29">
        <f>IFERROR('WV 4.0'!E438, " ")</f>
        <v>0</v>
      </c>
      <c r="F449" s="27">
        <f>IFERROR(ROUND(HLOOKUP(Таблица5[[#Headers],[Цена КП]],'WV 4.0'!$A:$N,ROW('WV 4.0'!438:438),0),0),"")</f>
        <v>0</v>
      </c>
      <c r="G449" s="27">
        <f>IFERROR(Таблица5[[#This Row],[Цена КП]]*Таблица5[[#This Row],[Кол-во]],"")</f>
        <v>0</v>
      </c>
      <c r="H449" s="42">
        <f>IFERROR(HLOOKUP(Таблица5[[#Headers],[Комментарии]],'WV 4.0'!$A:$N,ROW('WV 4.0'!438:438),0),"")</f>
        <v>0</v>
      </c>
      <c r="I449" s="42">
        <f>IFERROR(HLOOKUP(Таблица5[[#Headers],[Срок поставки]],'WV 4.0'!$A:$N,ROW('WV 4.0'!438:438),0),"")</f>
        <v>0</v>
      </c>
      <c r="J449" s="27" t="str">
        <f>IFERROR(HLOOKUP(Таблица5[[#Headers],[Цена КазНИИСА]],'WV 4.0'!$A:$N,ROW('WV 4.0'!438:438),0),"")</f>
        <v/>
      </c>
      <c r="K449" s="27" t="str">
        <f>IFERROR(HLOOKUP(Таблица5[[#Headers],[Сумма КазНИИСА]],'WV 4.0'!$A:$N,ROW('WV 4.0'!438:438),0),"")</f>
        <v/>
      </c>
      <c r="L449" s="27">
        <f>IFERROR(HLOOKUP(Таблица5[[#Headers],[Код КазНИИСА]],'WV 4.0'!$A:$N,ROW('WV 4.0'!438:438),0),"")</f>
        <v>0</v>
      </c>
      <c r="M449" s="27" t="str">
        <f>IFERROR(HLOOKUP(Таблица5[[#Headers],[РРЦ в тнг]],'WV 4.0'!$A:$N,ROW('WV 4.0'!438:438),0),"")</f>
        <v/>
      </c>
      <c r="N449" s="27" t="str">
        <f>IFERROR(HLOOKUP(Таблица5[[#Headers],[Сумма РРЦ]],'WV 4.0'!$A:$N,ROW('WV 4.0'!438:438),0),"")</f>
        <v/>
      </c>
    </row>
    <row r="450" spans="1:14" x14ac:dyDescent="0.25">
      <c r="A450" s="29">
        <f>IFERROR('WV 4.0'!A439, " ")</f>
        <v>0</v>
      </c>
      <c r="B450" s="29">
        <f>IFERROR('WV 4.0'!B439, " ")</f>
        <v>0</v>
      </c>
      <c r="C450" s="29">
        <f>IFERROR('WV 4.0'!C439, " ")</f>
        <v>0</v>
      </c>
      <c r="D450" s="29">
        <f>IFERROR('WV 4.0'!D439, " ")</f>
        <v>0</v>
      </c>
      <c r="E450" s="29">
        <f>IFERROR('WV 4.0'!E439, " ")</f>
        <v>0</v>
      </c>
      <c r="F450" s="27">
        <f>IFERROR(ROUND(HLOOKUP(Таблица5[[#Headers],[Цена КП]],'WV 4.0'!$A:$N,ROW('WV 4.0'!439:439),0),0),"")</f>
        <v>0</v>
      </c>
      <c r="G450" s="27">
        <f>IFERROR(Таблица5[[#This Row],[Цена КП]]*Таблица5[[#This Row],[Кол-во]],"")</f>
        <v>0</v>
      </c>
      <c r="H450" s="42">
        <f>IFERROR(HLOOKUP(Таблица5[[#Headers],[Комментарии]],'WV 4.0'!$A:$N,ROW('WV 4.0'!439:439),0),"")</f>
        <v>0</v>
      </c>
      <c r="I450" s="42">
        <f>IFERROR(HLOOKUP(Таблица5[[#Headers],[Срок поставки]],'WV 4.0'!$A:$N,ROW('WV 4.0'!439:439),0),"")</f>
        <v>0</v>
      </c>
      <c r="J450" s="27" t="str">
        <f>IFERROR(HLOOKUP(Таблица5[[#Headers],[Цена КазНИИСА]],'WV 4.0'!$A:$N,ROW('WV 4.0'!439:439),0),"")</f>
        <v/>
      </c>
      <c r="K450" s="27" t="str">
        <f>IFERROR(HLOOKUP(Таблица5[[#Headers],[Сумма КазНИИСА]],'WV 4.0'!$A:$N,ROW('WV 4.0'!439:439),0),"")</f>
        <v/>
      </c>
      <c r="L450" s="27">
        <f>IFERROR(HLOOKUP(Таблица5[[#Headers],[Код КазНИИСА]],'WV 4.0'!$A:$N,ROW('WV 4.0'!439:439),0),"")</f>
        <v>0</v>
      </c>
      <c r="M450" s="27" t="str">
        <f>IFERROR(HLOOKUP(Таблица5[[#Headers],[РРЦ в тнг]],'WV 4.0'!$A:$N,ROW('WV 4.0'!439:439),0),"")</f>
        <v/>
      </c>
      <c r="N450" s="27" t="str">
        <f>IFERROR(HLOOKUP(Таблица5[[#Headers],[Сумма РРЦ]],'WV 4.0'!$A:$N,ROW('WV 4.0'!439:439),0),"")</f>
        <v/>
      </c>
    </row>
    <row r="451" spans="1:14" x14ac:dyDescent="0.25">
      <c r="A451" s="29">
        <f>IFERROR('WV 4.0'!A440, " ")</f>
        <v>0</v>
      </c>
      <c r="B451" s="29">
        <f>IFERROR('WV 4.0'!B440, " ")</f>
        <v>0</v>
      </c>
      <c r="C451" s="29">
        <f>IFERROR('WV 4.0'!C440, " ")</f>
        <v>0</v>
      </c>
      <c r="D451" s="29">
        <f>IFERROR('WV 4.0'!D440, " ")</f>
        <v>0</v>
      </c>
      <c r="E451" s="29">
        <f>IFERROR('WV 4.0'!E440, " ")</f>
        <v>0</v>
      </c>
      <c r="F451" s="27">
        <f>IFERROR(ROUND(HLOOKUP(Таблица5[[#Headers],[Цена КП]],'WV 4.0'!$A:$N,ROW('WV 4.0'!440:440),0),0),"")</f>
        <v>0</v>
      </c>
      <c r="G451" s="27">
        <f>IFERROR(Таблица5[[#This Row],[Цена КП]]*Таблица5[[#This Row],[Кол-во]],"")</f>
        <v>0</v>
      </c>
      <c r="H451" s="42">
        <f>IFERROR(HLOOKUP(Таблица5[[#Headers],[Комментарии]],'WV 4.0'!$A:$N,ROW('WV 4.0'!440:440),0),"")</f>
        <v>0</v>
      </c>
      <c r="I451" s="42">
        <f>IFERROR(HLOOKUP(Таблица5[[#Headers],[Срок поставки]],'WV 4.0'!$A:$N,ROW('WV 4.0'!440:440),0),"")</f>
        <v>0</v>
      </c>
      <c r="J451" s="27" t="str">
        <f>IFERROR(HLOOKUP(Таблица5[[#Headers],[Цена КазНИИСА]],'WV 4.0'!$A:$N,ROW('WV 4.0'!440:440),0),"")</f>
        <v/>
      </c>
      <c r="K451" s="27" t="str">
        <f>IFERROR(HLOOKUP(Таблица5[[#Headers],[Сумма КазНИИСА]],'WV 4.0'!$A:$N,ROW('WV 4.0'!440:440),0),"")</f>
        <v/>
      </c>
      <c r="L451" s="27">
        <f>IFERROR(HLOOKUP(Таблица5[[#Headers],[Код КазНИИСА]],'WV 4.0'!$A:$N,ROW('WV 4.0'!440:440),0),"")</f>
        <v>0</v>
      </c>
      <c r="M451" s="27" t="str">
        <f>IFERROR(HLOOKUP(Таблица5[[#Headers],[РРЦ в тнг]],'WV 4.0'!$A:$N,ROW('WV 4.0'!440:440),0),"")</f>
        <v/>
      </c>
      <c r="N451" s="27" t="str">
        <f>IFERROR(HLOOKUP(Таблица5[[#Headers],[Сумма РРЦ]],'WV 4.0'!$A:$N,ROW('WV 4.0'!440:440),0),"")</f>
        <v/>
      </c>
    </row>
    <row r="452" spans="1:14" x14ac:dyDescent="0.25">
      <c r="A452" s="29">
        <f>IFERROR('WV 4.0'!A441, " ")</f>
        <v>0</v>
      </c>
      <c r="B452" s="29">
        <f>IFERROR('WV 4.0'!B441, " ")</f>
        <v>0</v>
      </c>
      <c r="C452" s="29">
        <f>IFERROR('WV 4.0'!C441, " ")</f>
        <v>0</v>
      </c>
      <c r="D452" s="29">
        <f>IFERROR('WV 4.0'!D441, " ")</f>
        <v>0</v>
      </c>
      <c r="E452" s="29">
        <f>IFERROR('WV 4.0'!E441, " ")</f>
        <v>0</v>
      </c>
      <c r="F452" s="27">
        <f>IFERROR(ROUND(HLOOKUP(Таблица5[[#Headers],[Цена КП]],'WV 4.0'!$A:$N,ROW('WV 4.0'!441:441),0),0),"")</f>
        <v>0</v>
      </c>
      <c r="G452" s="27">
        <f>IFERROR(Таблица5[[#This Row],[Цена КП]]*Таблица5[[#This Row],[Кол-во]],"")</f>
        <v>0</v>
      </c>
      <c r="H452" s="42">
        <f>IFERROR(HLOOKUP(Таблица5[[#Headers],[Комментарии]],'WV 4.0'!$A:$N,ROW('WV 4.0'!441:441),0),"")</f>
        <v>0</v>
      </c>
      <c r="I452" s="42">
        <f>IFERROR(HLOOKUP(Таблица5[[#Headers],[Срок поставки]],'WV 4.0'!$A:$N,ROW('WV 4.0'!441:441),0),"")</f>
        <v>0</v>
      </c>
      <c r="J452" s="27" t="str">
        <f>IFERROR(HLOOKUP(Таблица5[[#Headers],[Цена КазНИИСА]],'WV 4.0'!$A:$N,ROW('WV 4.0'!441:441),0),"")</f>
        <v/>
      </c>
      <c r="K452" s="27" t="str">
        <f>IFERROR(HLOOKUP(Таблица5[[#Headers],[Сумма КазНИИСА]],'WV 4.0'!$A:$N,ROW('WV 4.0'!441:441),0),"")</f>
        <v/>
      </c>
      <c r="L452" s="27">
        <f>IFERROR(HLOOKUP(Таблица5[[#Headers],[Код КазНИИСА]],'WV 4.0'!$A:$N,ROW('WV 4.0'!441:441),0),"")</f>
        <v>0</v>
      </c>
      <c r="M452" s="27" t="str">
        <f>IFERROR(HLOOKUP(Таблица5[[#Headers],[РРЦ в тнг]],'WV 4.0'!$A:$N,ROW('WV 4.0'!441:441),0),"")</f>
        <v/>
      </c>
      <c r="N452" s="27" t="str">
        <f>IFERROR(HLOOKUP(Таблица5[[#Headers],[Сумма РРЦ]],'WV 4.0'!$A:$N,ROW('WV 4.0'!441:441),0),"")</f>
        <v/>
      </c>
    </row>
    <row r="453" spans="1:14" x14ac:dyDescent="0.25">
      <c r="A453" s="29">
        <f>IFERROR('WV 4.0'!A442, " ")</f>
        <v>0</v>
      </c>
      <c r="B453" s="29">
        <f>IFERROR('WV 4.0'!B442, " ")</f>
        <v>0</v>
      </c>
      <c r="C453" s="29">
        <f>IFERROR('WV 4.0'!C442, " ")</f>
        <v>0</v>
      </c>
      <c r="D453" s="29">
        <f>IFERROR('WV 4.0'!D442, " ")</f>
        <v>0</v>
      </c>
      <c r="E453" s="29">
        <f>IFERROR('WV 4.0'!E442, " ")</f>
        <v>0</v>
      </c>
      <c r="F453" s="27">
        <f>IFERROR(ROUND(HLOOKUP(Таблица5[[#Headers],[Цена КП]],'WV 4.0'!$A:$N,ROW('WV 4.0'!442:442),0),0),"")</f>
        <v>0</v>
      </c>
      <c r="G453" s="27">
        <f>IFERROR(Таблица5[[#This Row],[Цена КП]]*Таблица5[[#This Row],[Кол-во]],"")</f>
        <v>0</v>
      </c>
      <c r="H453" s="42">
        <f>IFERROR(HLOOKUP(Таблица5[[#Headers],[Комментарии]],'WV 4.0'!$A:$N,ROW('WV 4.0'!442:442),0),"")</f>
        <v>0</v>
      </c>
      <c r="I453" s="42">
        <f>IFERROR(HLOOKUP(Таблица5[[#Headers],[Срок поставки]],'WV 4.0'!$A:$N,ROW('WV 4.0'!442:442),0),"")</f>
        <v>0</v>
      </c>
      <c r="J453" s="27" t="str">
        <f>IFERROR(HLOOKUP(Таблица5[[#Headers],[Цена КазНИИСА]],'WV 4.0'!$A:$N,ROW('WV 4.0'!442:442),0),"")</f>
        <v/>
      </c>
      <c r="K453" s="27" t="str">
        <f>IFERROR(HLOOKUP(Таблица5[[#Headers],[Сумма КазНИИСА]],'WV 4.0'!$A:$N,ROW('WV 4.0'!442:442),0),"")</f>
        <v/>
      </c>
      <c r="L453" s="27">
        <f>IFERROR(HLOOKUP(Таблица5[[#Headers],[Код КазНИИСА]],'WV 4.0'!$A:$N,ROW('WV 4.0'!442:442),0),"")</f>
        <v>0</v>
      </c>
      <c r="M453" s="27" t="str">
        <f>IFERROR(HLOOKUP(Таблица5[[#Headers],[РРЦ в тнг]],'WV 4.0'!$A:$N,ROW('WV 4.0'!442:442),0),"")</f>
        <v/>
      </c>
      <c r="N453" s="27" t="str">
        <f>IFERROR(HLOOKUP(Таблица5[[#Headers],[Сумма РРЦ]],'WV 4.0'!$A:$N,ROW('WV 4.0'!442:442),0),"")</f>
        <v/>
      </c>
    </row>
    <row r="454" spans="1:14" x14ac:dyDescent="0.25">
      <c r="A454" s="29">
        <f>IFERROR('WV 4.0'!A443, " ")</f>
        <v>0</v>
      </c>
      <c r="B454" s="29">
        <f>IFERROR('WV 4.0'!B443, " ")</f>
        <v>0</v>
      </c>
      <c r="C454" s="29">
        <f>IFERROR('WV 4.0'!C443, " ")</f>
        <v>0</v>
      </c>
      <c r="D454" s="29">
        <f>IFERROR('WV 4.0'!D443, " ")</f>
        <v>0</v>
      </c>
      <c r="E454" s="29">
        <f>IFERROR('WV 4.0'!E443, " ")</f>
        <v>0</v>
      </c>
      <c r="F454" s="27">
        <f>IFERROR(ROUND(HLOOKUP(Таблица5[[#Headers],[Цена КП]],'WV 4.0'!$A:$N,ROW('WV 4.0'!443:443),0),0),"")</f>
        <v>0</v>
      </c>
      <c r="G454" s="27">
        <f>IFERROR(Таблица5[[#This Row],[Цена КП]]*Таблица5[[#This Row],[Кол-во]],"")</f>
        <v>0</v>
      </c>
      <c r="H454" s="42">
        <f>IFERROR(HLOOKUP(Таблица5[[#Headers],[Комментарии]],'WV 4.0'!$A:$N,ROW('WV 4.0'!443:443),0),"")</f>
        <v>0</v>
      </c>
      <c r="I454" s="42">
        <f>IFERROR(HLOOKUP(Таблица5[[#Headers],[Срок поставки]],'WV 4.0'!$A:$N,ROW('WV 4.0'!443:443),0),"")</f>
        <v>0</v>
      </c>
      <c r="J454" s="27" t="str">
        <f>IFERROR(HLOOKUP(Таблица5[[#Headers],[Цена КазНИИСА]],'WV 4.0'!$A:$N,ROW('WV 4.0'!443:443),0),"")</f>
        <v/>
      </c>
      <c r="K454" s="27" t="str">
        <f>IFERROR(HLOOKUP(Таблица5[[#Headers],[Сумма КазНИИСА]],'WV 4.0'!$A:$N,ROW('WV 4.0'!443:443),0),"")</f>
        <v/>
      </c>
      <c r="L454" s="27">
        <f>IFERROR(HLOOKUP(Таблица5[[#Headers],[Код КазНИИСА]],'WV 4.0'!$A:$N,ROW('WV 4.0'!443:443),0),"")</f>
        <v>0</v>
      </c>
      <c r="M454" s="27" t="str">
        <f>IFERROR(HLOOKUP(Таблица5[[#Headers],[РРЦ в тнг]],'WV 4.0'!$A:$N,ROW('WV 4.0'!443:443),0),"")</f>
        <v/>
      </c>
      <c r="N454" s="27" t="str">
        <f>IFERROR(HLOOKUP(Таблица5[[#Headers],[Сумма РРЦ]],'WV 4.0'!$A:$N,ROW('WV 4.0'!443:443),0),"")</f>
        <v/>
      </c>
    </row>
    <row r="455" spans="1:14" x14ac:dyDescent="0.25">
      <c r="A455" s="29">
        <f>IFERROR('WV 4.0'!A444, " ")</f>
        <v>0</v>
      </c>
      <c r="B455" s="29">
        <f>IFERROR('WV 4.0'!B444, " ")</f>
        <v>0</v>
      </c>
      <c r="C455" s="29">
        <f>IFERROR('WV 4.0'!C444, " ")</f>
        <v>0</v>
      </c>
      <c r="D455" s="29">
        <f>IFERROR('WV 4.0'!D444, " ")</f>
        <v>0</v>
      </c>
      <c r="E455" s="29">
        <f>IFERROR('WV 4.0'!E444, " ")</f>
        <v>0</v>
      </c>
      <c r="F455" s="27">
        <f>IFERROR(ROUND(HLOOKUP(Таблица5[[#Headers],[Цена КП]],'WV 4.0'!$A:$N,ROW('WV 4.0'!444:444),0),0),"")</f>
        <v>0</v>
      </c>
      <c r="G455" s="27">
        <f>IFERROR(Таблица5[[#This Row],[Цена КП]]*Таблица5[[#This Row],[Кол-во]],"")</f>
        <v>0</v>
      </c>
      <c r="H455" s="42">
        <f>IFERROR(HLOOKUP(Таблица5[[#Headers],[Комментарии]],'WV 4.0'!$A:$N,ROW('WV 4.0'!444:444),0),"")</f>
        <v>0</v>
      </c>
      <c r="I455" s="42">
        <f>IFERROR(HLOOKUP(Таблица5[[#Headers],[Срок поставки]],'WV 4.0'!$A:$N,ROW('WV 4.0'!444:444),0),"")</f>
        <v>0</v>
      </c>
      <c r="J455" s="27" t="str">
        <f>IFERROR(HLOOKUP(Таблица5[[#Headers],[Цена КазНИИСА]],'WV 4.0'!$A:$N,ROW('WV 4.0'!444:444),0),"")</f>
        <v/>
      </c>
      <c r="K455" s="27" t="str">
        <f>IFERROR(HLOOKUP(Таблица5[[#Headers],[Сумма КазНИИСА]],'WV 4.0'!$A:$N,ROW('WV 4.0'!444:444),0),"")</f>
        <v/>
      </c>
      <c r="L455" s="27">
        <f>IFERROR(HLOOKUP(Таблица5[[#Headers],[Код КазНИИСА]],'WV 4.0'!$A:$N,ROW('WV 4.0'!444:444),0),"")</f>
        <v>0</v>
      </c>
      <c r="M455" s="27" t="str">
        <f>IFERROR(HLOOKUP(Таблица5[[#Headers],[РРЦ в тнг]],'WV 4.0'!$A:$N,ROW('WV 4.0'!444:444),0),"")</f>
        <v/>
      </c>
      <c r="N455" s="27" t="str">
        <f>IFERROR(HLOOKUP(Таблица5[[#Headers],[Сумма РРЦ]],'WV 4.0'!$A:$N,ROW('WV 4.0'!444:444),0),"")</f>
        <v/>
      </c>
    </row>
    <row r="456" spans="1:14" x14ac:dyDescent="0.25">
      <c r="A456" s="29">
        <f>IFERROR('WV 4.0'!A445, " ")</f>
        <v>0</v>
      </c>
      <c r="B456" s="29">
        <f>IFERROR('WV 4.0'!B445, " ")</f>
        <v>0</v>
      </c>
      <c r="C456" s="29">
        <f>IFERROR('WV 4.0'!C445, " ")</f>
        <v>0</v>
      </c>
      <c r="D456" s="29">
        <f>IFERROR('WV 4.0'!D445, " ")</f>
        <v>0</v>
      </c>
      <c r="E456" s="29">
        <f>IFERROR('WV 4.0'!E445, " ")</f>
        <v>0</v>
      </c>
      <c r="F456" s="27">
        <f>IFERROR(ROUND(HLOOKUP(Таблица5[[#Headers],[Цена КП]],'WV 4.0'!$A:$N,ROW('WV 4.0'!445:445),0),0),"")</f>
        <v>0</v>
      </c>
      <c r="G456" s="27">
        <f>IFERROR(Таблица5[[#This Row],[Цена КП]]*Таблица5[[#This Row],[Кол-во]],"")</f>
        <v>0</v>
      </c>
      <c r="H456" s="42">
        <f>IFERROR(HLOOKUP(Таблица5[[#Headers],[Комментарии]],'WV 4.0'!$A:$N,ROW('WV 4.0'!445:445),0),"")</f>
        <v>0</v>
      </c>
      <c r="I456" s="42">
        <f>IFERROR(HLOOKUP(Таблица5[[#Headers],[Срок поставки]],'WV 4.0'!$A:$N,ROW('WV 4.0'!445:445),0),"")</f>
        <v>0</v>
      </c>
      <c r="J456" s="27" t="str">
        <f>IFERROR(HLOOKUP(Таблица5[[#Headers],[Цена КазНИИСА]],'WV 4.0'!$A:$N,ROW('WV 4.0'!445:445),0),"")</f>
        <v/>
      </c>
      <c r="K456" s="27" t="str">
        <f>IFERROR(HLOOKUP(Таблица5[[#Headers],[Сумма КазНИИСА]],'WV 4.0'!$A:$N,ROW('WV 4.0'!445:445),0),"")</f>
        <v/>
      </c>
      <c r="L456" s="27">
        <f>IFERROR(HLOOKUP(Таблица5[[#Headers],[Код КазНИИСА]],'WV 4.0'!$A:$N,ROW('WV 4.0'!445:445),0),"")</f>
        <v>0</v>
      </c>
      <c r="M456" s="27" t="str">
        <f>IFERROR(HLOOKUP(Таблица5[[#Headers],[РРЦ в тнг]],'WV 4.0'!$A:$N,ROW('WV 4.0'!445:445),0),"")</f>
        <v/>
      </c>
      <c r="N456" s="27" t="str">
        <f>IFERROR(HLOOKUP(Таблица5[[#Headers],[Сумма РРЦ]],'WV 4.0'!$A:$N,ROW('WV 4.0'!445:445),0),"")</f>
        <v/>
      </c>
    </row>
    <row r="457" spans="1:14" x14ac:dyDescent="0.25">
      <c r="A457" s="29">
        <f>IFERROR('WV 4.0'!A446, " ")</f>
        <v>0</v>
      </c>
      <c r="B457" s="29">
        <f>IFERROR('WV 4.0'!B446, " ")</f>
        <v>0</v>
      </c>
      <c r="C457" s="29">
        <f>IFERROR('WV 4.0'!C446, " ")</f>
        <v>0</v>
      </c>
      <c r="D457" s="29">
        <f>IFERROR('WV 4.0'!D446, " ")</f>
        <v>0</v>
      </c>
      <c r="E457" s="29">
        <f>IFERROR('WV 4.0'!E446, " ")</f>
        <v>0</v>
      </c>
      <c r="F457" s="27">
        <f>IFERROR(ROUND(HLOOKUP(Таблица5[[#Headers],[Цена КП]],'WV 4.0'!$A:$N,ROW('WV 4.0'!446:446),0),0),"")</f>
        <v>0</v>
      </c>
      <c r="G457" s="27">
        <f>IFERROR(Таблица5[[#This Row],[Цена КП]]*Таблица5[[#This Row],[Кол-во]],"")</f>
        <v>0</v>
      </c>
      <c r="H457" s="42">
        <f>IFERROR(HLOOKUP(Таблица5[[#Headers],[Комментарии]],'WV 4.0'!$A:$N,ROW('WV 4.0'!446:446),0),"")</f>
        <v>0</v>
      </c>
      <c r="I457" s="42">
        <f>IFERROR(HLOOKUP(Таблица5[[#Headers],[Срок поставки]],'WV 4.0'!$A:$N,ROW('WV 4.0'!446:446),0),"")</f>
        <v>0</v>
      </c>
      <c r="J457" s="27" t="str">
        <f>IFERROR(HLOOKUP(Таблица5[[#Headers],[Цена КазНИИСА]],'WV 4.0'!$A:$N,ROW('WV 4.0'!446:446),0),"")</f>
        <v/>
      </c>
      <c r="K457" s="27" t="str">
        <f>IFERROR(HLOOKUP(Таблица5[[#Headers],[Сумма КазНИИСА]],'WV 4.0'!$A:$N,ROW('WV 4.0'!446:446),0),"")</f>
        <v/>
      </c>
      <c r="L457" s="27">
        <f>IFERROR(HLOOKUP(Таблица5[[#Headers],[Код КазНИИСА]],'WV 4.0'!$A:$N,ROW('WV 4.0'!446:446),0),"")</f>
        <v>0</v>
      </c>
      <c r="M457" s="27" t="str">
        <f>IFERROR(HLOOKUP(Таблица5[[#Headers],[РРЦ в тнг]],'WV 4.0'!$A:$N,ROW('WV 4.0'!446:446),0),"")</f>
        <v/>
      </c>
      <c r="N457" s="27" t="str">
        <f>IFERROR(HLOOKUP(Таблица5[[#Headers],[Сумма РРЦ]],'WV 4.0'!$A:$N,ROW('WV 4.0'!446:446),0),"")</f>
        <v/>
      </c>
    </row>
    <row r="458" spans="1:14" x14ac:dyDescent="0.25">
      <c r="A458" s="29">
        <f>IFERROR('WV 4.0'!A447, " ")</f>
        <v>0</v>
      </c>
      <c r="B458" s="29">
        <f>IFERROR('WV 4.0'!B447, " ")</f>
        <v>0</v>
      </c>
      <c r="C458" s="29">
        <f>IFERROR('WV 4.0'!C447, " ")</f>
        <v>0</v>
      </c>
      <c r="D458" s="29">
        <f>IFERROR('WV 4.0'!D447, " ")</f>
        <v>0</v>
      </c>
      <c r="E458" s="29">
        <f>IFERROR('WV 4.0'!E447, " ")</f>
        <v>0</v>
      </c>
      <c r="F458" s="27">
        <f>IFERROR(ROUND(HLOOKUP(Таблица5[[#Headers],[Цена КП]],'WV 4.0'!$A:$N,ROW('WV 4.0'!447:447),0),0),"")</f>
        <v>0</v>
      </c>
      <c r="G458" s="27">
        <f>IFERROR(Таблица5[[#This Row],[Цена КП]]*Таблица5[[#This Row],[Кол-во]],"")</f>
        <v>0</v>
      </c>
      <c r="H458" s="42">
        <f>IFERROR(HLOOKUP(Таблица5[[#Headers],[Комментарии]],'WV 4.0'!$A:$N,ROW('WV 4.0'!447:447),0),"")</f>
        <v>0</v>
      </c>
      <c r="I458" s="42">
        <f>IFERROR(HLOOKUP(Таблица5[[#Headers],[Срок поставки]],'WV 4.0'!$A:$N,ROW('WV 4.0'!447:447),0),"")</f>
        <v>0</v>
      </c>
      <c r="J458" s="27" t="str">
        <f>IFERROR(HLOOKUP(Таблица5[[#Headers],[Цена КазНИИСА]],'WV 4.0'!$A:$N,ROW('WV 4.0'!447:447),0),"")</f>
        <v/>
      </c>
      <c r="K458" s="27" t="str">
        <f>IFERROR(HLOOKUP(Таблица5[[#Headers],[Сумма КазНИИСА]],'WV 4.0'!$A:$N,ROW('WV 4.0'!447:447),0),"")</f>
        <v/>
      </c>
      <c r="L458" s="27">
        <f>IFERROR(HLOOKUP(Таблица5[[#Headers],[Код КазНИИСА]],'WV 4.0'!$A:$N,ROW('WV 4.0'!447:447),0),"")</f>
        <v>0</v>
      </c>
      <c r="M458" s="27" t="str">
        <f>IFERROR(HLOOKUP(Таблица5[[#Headers],[РРЦ в тнг]],'WV 4.0'!$A:$N,ROW('WV 4.0'!447:447),0),"")</f>
        <v/>
      </c>
      <c r="N458" s="27" t="str">
        <f>IFERROR(HLOOKUP(Таблица5[[#Headers],[Сумма РРЦ]],'WV 4.0'!$A:$N,ROW('WV 4.0'!447:447),0),"")</f>
        <v/>
      </c>
    </row>
    <row r="459" spans="1:14" x14ac:dyDescent="0.25">
      <c r="A459" s="29">
        <f>IFERROR('WV 4.0'!A448, " ")</f>
        <v>0</v>
      </c>
      <c r="B459" s="29">
        <f>IFERROR('WV 4.0'!B448, " ")</f>
        <v>0</v>
      </c>
      <c r="C459" s="29">
        <f>IFERROR('WV 4.0'!C448, " ")</f>
        <v>0</v>
      </c>
      <c r="D459" s="29">
        <f>IFERROR('WV 4.0'!D448, " ")</f>
        <v>0</v>
      </c>
      <c r="E459" s="29">
        <f>IFERROR('WV 4.0'!E448, " ")</f>
        <v>0</v>
      </c>
      <c r="F459" s="27">
        <f>IFERROR(ROUND(HLOOKUP(Таблица5[[#Headers],[Цена КП]],'WV 4.0'!$A:$N,ROW('WV 4.0'!448:448),0),0),"")</f>
        <v>0</v>
      </c>
      <c r="G459" s="27">
        <f>IFERROR(Таблица5[[#This Row],[Цена КП]]*Таблица5[[#This Row],[Кол-во]],"")</f>
        <v>0</v>
      </c>
      <c r="H459" s="42">
        <f>IFERROR(HLOOKUP(Таблица5[[#Headers],[Комментарии]],'WV 4.0'!$A:$N,ROW('WV 4.0'!448:448),0),"")</f>
        <v>0</v>
      </c>
      <c r="I459" s="42">
        <f>IFERROR(HLOOKUP(Таблица5[[#Headers],[Срок поставки]],'WV 4.0'!$A:$N,ROW('WV 4.0'!448:448),0),"")</f>
        <v>0</v>
      </c>
      <c r="J459" s="27" t="str">
        <f>IFERROR(HLOOKUP(Таблица5[[#Headers],[Цена КазНИИСА]],'WV 4.0'!$A:$N,ROW('WV 4.0'!448:448),0),"")</f>
        <v/>
      </c>
      <c r="K459" s="27" t="str">
        <f>IFERROR(HLOOKUP(Таблица5[[#Headers],[Сумма КазНИИСА]],'WV 4.0'!$A:$N,ROW('WV 4.0'!448:448),0),"")</f>
        <v/>
      </c>
      <c r="L459" s="27">
        <f>IFERROR(HLOOKUP(Таблица5[[#Headers],[Код КазНИИСА]],'WV 4.0'!$A:$N,ROW('WV 4.0'!448:448),0),"")</f>
        <v>0</v>
      </c>
      <c r="M459" s="27" t="str">
        <f>IFERROR(HLOOKUP(Таблица5[[#Headers],[РРЦ в тнг]],'WV 4.0'!$A:$N,ROW('WV 4.0'!448:448),0),"")</f>
        <v/>
      </c>
      <c r="N459" s="27" t="str">
        <f>IFERROR(HLOOKUP(Таблица5[[#Headers],[Сумма РРЦ]],'WV 4.0'!$A:$N,ROW('WV 4.0'!448:448),0),"")</f>
        <v/>
      </c>
    </row>
    <row r="460" spans="1:14" x14ac:dyDescent="0.25">
      <c r="A460" s="29">
        <f>IFERROR('WV 4.0'!A449, " ")</f>
        <v>0</v>
      </c>
      <c r="B460" s="29">
        <f>IFERROR('WV 4.0'!B449, " ")</f>
        <v>0</v>
      </c>
      <c r="C460" s="29">
        <f>IFERROR('WV 4.0'!C449, " ")</f>
        <v>0</v>
      </c>
      <c r="D460" s="29">
        <f>IFERROR('WV 4.0'!D449, " ")</f>
        <v>0</v>
      </c>
      <c r="E460" s="29">
        <f>IFERROR('WV 4.0'!E449, " ")</f>
        <v>0</v>
      </c>
      <c r="F460" s="27">
        <f>IFERROR(ROUND(HLOOKUP(Таблица5[[#Headers],[Цена КП]],'WV 4.0'!$A:$N,ROW('WV 4.0'!449:449),0),0),"")</f>
        <v>0</v>
      </c>
      <c r="G460" s="27">
        <f>IFERROR(Таблица5[[#This Row],[Цена КП]]*Таблица5[[#This Row],[Кол-во]],"")</f>
        <v>0</v>
      </c>
      <c r="H460" s="42">
        <f>IFERROR(HLOOKUP(Таблица5[[#Headers],[Комментарии]],'WV 4.0'!$A:$N,ROW('WV 4.0'!449:449),0),"")</f>
        <v>0</v>
      </c>
      <c r="I460" s="42">
        <f>IFERROR(HLOOKUP(Таблица5[[#Headers],[Срок поставки]],'WV 4.0'!$A:$N,ROW('WV 4.0'!449:449),0),"")</f>
        <v>0</v>
      </c>
      <c r="J460" s="27" t="str">
        <f>IFERROR(HLOOKUP(Таблица5[[#Headers],[Цена КазНИИСА]],'WV 4.0'!$A:$N,ROW('WV 4.0'!449:449),0),"")</f>
        <v/>
      </c>
      <c r="K460" s="27" t="str">
        <f>IFERROR(HLOOKUP(Таблица5[[#Headers],[Сумма КазНИИСА]],'WV 4.0'!$A:$N,ROW('WV 4.0'!449:449),0),"")</f>
        <v/>
      </c>
      <c r="L460" s="27">
        <f>IFERROR(HLOOKUP(Таблица5[[#Headers],[Код КазНИИСА]],'WV 4.0'!$A:$N,ROW('WV 4.0'!449:449),0),"")</f>
        <v>0</v>
      </c>
      <c r="M460" s="27" t="str">
        <f>IFERROR(HLOOKUP(Таблица5[[#Headers],[РРЦ в тнг]],'WV 4.0'!$A:$N,ROW('WV 4.0'!449:449),0),"")</f>
        <v/>
      </c>
      <c r="N460" s="27" t="str">
        <f>IFERROR(HLOOKUP(Таблица5[[#Headers],[Сумма РРЦ]],'WV 4.0'!$A:$N,ROW('WV 4.0'!449:449),0),"")</f>
        <v/>
      </c>
    </row>
    <row r="461" spans="1:14" x14ac:dyDescent="0.25">
      <c r="A461" s="29">
        <f>IFERROR('WV 4.0'!A450, " ")</f>
        <v>0</v>
      </c>
      <c r="B461" s="29">
        <f>IFERROR('WV 4.0'!B450, " ")</f>
        <v>0</v>
      </c>
      <c r="C461" s="29">
        <f>IFERROR('WV 4.0'!C450, " ")</f>
        <v>0</v>
      </c>
      <c r="D461" s="29">
        <f>IFERROR('WV 4.0'!D450, " ")</f>
        <v>0</v>
      </c>
      <c r="E461" s="29">
        <f>IFERROR('WV 4.0'!E450, " ")</f>
        <v>0</v>
      </c>
      <c r="F461" s="27">
        <f>IFERROR(ROUND(HLOOKUP(Таблица5[[#Headers],[Цена КП]],'WV 4.0'!$A:$N,ROW('WV 4.0'!450:450),0),0),"")</f>
        <v>0</v>
      </c>
      <c r="G461" s="27">
        <f>IFERROR(Таблица5[[#This Row],[Цена КП]]*Таблица5[[#This Row],[Кол-во]],"")</f>
        <v>0</v>
      </c>
      <c r="H461" s="42">
        <f>IFERROR(HLOOKUP(Таблица5[[#Headers],[Комментарии]],'WV 4.0'!$A:$N,ROW('WV 4.0'!450:450),0),"")</f>
        <v>0</v>
      </c>
      <c r="I461" s="42">
        <f>IFERROR(HLOOKUP(Таблица5[[#Headers],[Срок поставки]],'WV 4.0'!$A:$N,ROW('WV 4.0'!450:450),0),"")</f>
        <v>0</v>
      </c>
      <c r="J461" s="27" t="str">
        <f>IFERROR(HLOOKUP(Таблица5[[#Headers],[Цена КазНИИСА]],'WV 4.0'!$A:$N,ROW('WV 4.0'!450:450),0),"")</f>
        <v/>
      </c>
      <c r="K461" s="27" t="str">
        <f>IFERROR(HLOOKUP(Таблица5[[#Headers],[Сумма КазНИИСА]],'WV 4.0'!$A:$N,ROW('WV 4.0'!450:450),0),"")</f>
        <v/>
      </c>
      <c r="L461" s="27">
        <f>IFERROR(HLOOKUP(Таблица5[[#Headers],[Код КазНИИСА]],'WV 4.0'!$A:$N,ROW('WV 4.0'!450:450),0),"")</f>
        <v>0</v>
      </c>
      <c r="M461" s="27" t="str">
        <f>IFERROR(HLOOKUP(Таблица5[[#Headers],[РРЦ в тнг]],'WV 4.0'!$A:$N,ROW('WV 4.0'!450:450),0),"")</f>
        <v/>
      </c>
      <c r="N461" s="27" t="str">
        <f>IFERROR(HLOOKUP(Таблица5[[#Headers],[Сумма РРЦ]],'WV 4.0'!$A:$N,ROW('WV 4.0'!450:450),0),"")</f>
        <v/>
      </c>
    </row>
    <row r="462" spans="1:14" x14ac:dyDescent="0.25">
      <c r="A462" s="29">
        <f>IFERROR('WV 4.0'!A451, " ")</f>
        <v>0</v>
      </c>
      <c r="B462" s="29">
        <f>IFERROR('WV 4.0'!B451, " ")</f>
        <v>0</v>
      </c>
      <c r="C462" s="29">
        <f>IFERROR('WV 4.0'!C451, " ")</f>
        <v>0</v>
      </c>
      <c r="D462" s="29">
        <f>IFERROR('WV 4.0'!D451, " ")</f>
        <v>0</v>
      </c>
      <c r="E462" s="29">
        <f>IFERROR('WV 4.0'!E451, " ")</f>
        <v>0</v>
      </c>
      <c r="F462" s="27">
        <f>IFERROR(ROUND(HLOOKUP(Таблица5[[#Headers],[Цена КП]],'WV 4.0'!$A:$N,ROW('WV 4.0'!451:451),0),0),"")</f>
        <v>0</v>
      </c>
      <c r="G462" s="27">
        <f>IFERROR(Таблица5[[#This Row],[Цена КП]]*Таблица5[[#This Row],[Кол-во]],"")</f>
        <v>0</v>
      </c>
      <c r="H462" s="42">
        <f>IFERROR(HLOOKUP(Таблица5[[#Headers],[Комментарии]],'WV 4.0'!$A:$N,ROW('WV 4.0'!451:451),0),"")</f>
        <v>0</v>
      </c>
      <c r="I462" s="42">
        <f>IFERROR(HLOOKUP(Таблица5[[#Headers],[Срок поставки]],'WV 4.0'!$A:$N,ROW('WV 4.0'!451:451),0),"")</f>
        <v>0</v>
      </c>
      <c r="J462" s="27" t="str">
        <f>IFERROR(HLOOKUP(Таблица5[[#Headers],[Цена КазНИИСА]],'WV 4.0'!$A:$N,ROW('WV 4.0'!451:451),0),"")</f>
        <v/>
      </c>
      <c r="K462" s="27" t="str">
        <f>IFERROR(HLOOKUP(Таблица5[[#Headers],[Сумма КазНИИСА]],'WV 4.0'!$A:$N,ROW('WV 4.0'!451:451),0),"")</f>
        <v/>
      </c>
      <c r="L462" s="27">
        <f>IFERROR(HLOOKUP(Таблица5[[#Headers],[Код КазНИИСА]],'WV 4.0'!$A:$N,ROW('WV 4.0'!451:451),0),"")</f>
        <v>0</v>
      </c>
      <c r="M462" s="27" t="str">
        <f>IFERROR(HLOOKUP(Таблица5[[#Headers],[РРЦ в тнг]],'WV 4.0'!$A:$N,ROW('WV 4.0'!451:451),0),"")</f>
        <v/>
      </c>
      <c r="N462" s="27" t="str">
        <f>IFERROR(HLOOKUP(Таблица5[[#Headers],[Сумма РРЦ]],'WV 4.0'!$A:$N,ROW('WV 4.0'!451:451),0),"")</f>
        <v/>
      </c>
    </row>
    <row r="463" spans="1:14" x14ac:dyDescent="0.25">
      <c r="A463" s="29">
        <f>IFERROR('WV 4.0'!A452, " ")</f>
        <v>0</v>
      </c>
      <c r="B463" s="29">
        <f>IFERROR('WV 4.0'!B452, " ")</f>
        <v>0</v>
      </c>
      <c r="C463" s="29">
        <f>IFERROR('WV 4.0'!C452, " ")</f>
        <v>0</v>
      </c>
      <c r="D463" s="29">
        <f>IFERROR('WV 4.0'!D452, " ")</f>
        <v>0</v>
      </c>
      <c r="E463" s="29">
        <f>IFERROR('WV 4.0'!E452, " ")</f>
        <v>0</v>
      </c>
      <c r="F463" s="27">
        <f>IFERROR(ROUND(HLOOKUP(Таблица5[[#Headers],[Цена КП]],'WV 4.0'!$A:$N,ROW('WV 4.0'!452:452),0),0),"")</f>
        <v>0</v>
      </c>
      <c r="G463" s="27">
        <f>IFERROR(Таблица5[[#This Row],[Цена КП]]*Таблица5[[#This Row],[Кол-во]],"")</f>
        <v>0</v>
      </c>
      <c r="H463" s="42">
        <f>IFERROR(HLOOKUP(Таблица5[[#Headers],[Комментарии]],'WV 4.0'!$A:$N,ROW('WV 4.0'!452:452),0),"")</f>
        <v>0</v>
      </c>
      <c r="I463" s="42">
        <f>IFERROR(HLOOKUP(Таблица5[[#Headers],[Срок поставки]],'WV 4.0'!$A:$N,ROW('WV 4.0'!452:452),0),"")</f>
        <v>0</v>
      </c>
      <c r="J463" s="27" t="str">
        <f>IFERROR(HLOOKUP(Таблица5[[#Headers],[Цена КазНИИСА]],'WV 4.0'!$A:$N,ROW('WV 4.0'!452:452),0),"")</f>
        <v/>
      </c>
      <c r="K463" s="27" t="str">
        <f>IFERROR(HLOOKUP(Таблица5[[#Headers],[Сумма КазНИИСА]],'WV 4.0'!$A:$N,ROW('WV 4.0'!452:452),0),"")</f>
        <v/>
      </c>
      <c r="L463" s="27">
        <f>IFERROR(HLOOKUP(Таблица5[[#Headers],[Код КазНИИСА]],'WV 4.0'!$A:$N,ROW('WV 4.0'!452:452),0),"")</f>
        <v>0</v>
      </c>
      <c r="M463" s="27" t="str">
        <f>IFERROR(HLOOKUP(Таблица5[[#Headers],[РРЦ в тнг]],'WV 4.0'!$A:$N,ROW('WV 4.0'!452:452),0),"")</f>
        <v/>
      </c>
      <c r="N463" s="27" t="str">
        <f>IFERROR(HLOOKUP(Таблица5[[#Headers],[Сумма РРЦ]],'WV 4.0'!$A:$N,ROW('WV 4.0'!452:452),0),"")</f>
        <v/>
      </c>
    </row>
    <row r="464" spans="1:14" x14ac:dyDescent="0.25">
      <c r="A464" s="29">
        <f>IFERROR('WV 4.0'!A453, " ")</f>
        <v>0</v>
      </c>
      <c r="B464" s="29">
        <f>IFERROR('WV 4.0'!B453, " ")</f>
        <v>0</v>
      </c>
      <c r="C464" s="29">
        <f>IFERROR('WV 4.0'!C453, " ")</f>
        <v>0</v>
      </c>
      <c r="D464" s="29">
        <f>IFERROR('WV 4.0'!D453, " ")</f>
        <v>0</v>
      </c>
      <c r="E464" s="29">
        <f>IFERROR('WV 4.0'!E453, " ")</f>
        <v>0</v>
      </c>
      <c r="F464" s="27">
        <f>IFERROR(ROUND(HLOOKUP(Таблица5[[#Headers],[Цена КП]],'WV 4.0'!$A:$N,ROW('WV 4.0'!453:453),0),0),"")</f>
        <v>0</v>
      </c>
      <c r="G464" s="27">
        <f>IFERROR(Таблица5[[#This Row],[Цена КП]]*Таблица5[[#This Row],[Кол-во]],"")</f>
        <v>0</v>
      </c>
      <c r="H464" s="42">
        <f>IFERROR(HLOOKUP(Таблица5[[#Headers],[Комментарии]],'WV 4.0'!$A:$N,ROW('WV 4.0'!453:453),0),"")</f>
        <v>0</v>
      </c>
      <c r="I464" s="42">
        <f>IFERROR(HLOOKUP(Таблица5[[#Headers],[Срок поставки]],'WV 4.0'!$A:$N,ROW('WV 4.0'!453:453),0),"")</f>
        <v>0</v>
      </c>
      <c r="J464" s="27" t="str">
        <f>IFERROR(HLOOKUP(Таблица5[[#Headers],[Цена КазНИИСА]],'WV 4.0'!$A:$N,ROW('WV 4.0'!453:453),0),"")</f>
        <v/>
      </c>
      <c r="K464" s="27" t="str">
        <f>IFERROR(HLOOKUP(Таблица5[[#Headers],[Сумма КазНИИСА]],'WV 4.0'!$A:$N,ROW('WV 4.0'!453:453),0),"")</f>
        <v/>
      </c>
      <c r="L464" s="27">
        <f>IFERROR(HLOOKUP(Таблица5[[#Headers],[Код КазНИИСА]],'WV 4.0'!$A:$N,ROW('WV 4.0'!453:453),0),"")</f>
        <v>0</v>
      </c>
      <c r="M464" s="27" t="str">
        <f>IFERROR(HLOOKUP(Таблица5[[#Headers],[РРЦ в тнг]],'WV 4.0'!$A:$N,ROW('WV 4.0'!453:453),0),"")</f>
        <v/>
      </c>
      <c r="N464" s="27" t="str">
        <f>IFERROR(HLOOKUP(Таблица5[[#Headers],[Сумма РРЦ]],'WV 4.0'!$A:$N,ROW('WV 4.0'!453:453),0),"")</f>
        <v/>
      </c>
    </row>
    <row r="465" spans="1:14" x14ac:dyDescent="0.25">
      <c r="A465" s="29">
        <f>IFERROR('WV 4.0'!A454, " ")</f>
        <v>0</v>
      </c>
      <c r="B465" s="29">
        <f>IFERROR('WV 4.0'!B454, " ")</f>
        <v>0</v>
      </c>
      <c r="C465" s="29">
        <f>IFERROR('WV 4.0'!C454, " ")</f>
        <v>0</v>
      </c>
      <c r="D465" s="29">
        <f>IFERROR('WV 4.0'!D454, " ")</f>
        <v>0</v>
      </c>
      <c r="E465" s="29">
        <f>IFERROR('WV 4.0'!E454, " ")</f>
        <v>0</v>
      </c>
      <c r="F465" s="27">
        <f>IFERROR(ROUND(HLOOKUP(Таблица5[[#Headers],[Цена КП]],'WV 4.0'!$A:$N,ROW('WV 4.0'!454:454),0),0),"")</f>
        <v>0</v>
      </c>
      <c r="G465" s="27">
        <f>IFERROR(Таблица5[[#This Row],[Цена КП]]*Таблица5[[#This Row],[Кол-во]],"")</f>
        <v>0</v>
      </c>
      <c r="H465" s="42">
        <f>IFERROR(HLOOKUP(Таблица5[[#Headers],[Комментарии]],'WV 4.0'!$A:$N,ROW('WV 4.0'!454:454),0),"")</f>
        <v>0</v>
      </c>
      <c r="I465" s="42">
        <f>IFERROR(HLOOKUP(Таблица5[[#Headers],[Срок поставки]],'WV 4.0'!$A:$N,ROW('WV 4.0'!454:454),0),"")</f>
        <v>0</v>
      </c>
      <c r="J465" s="27" t="str">
        <f>IFERROR(HLOOKUP(Таблица5[[#Headers],[Цена КазНИИСА]],'WV 4.0'!$A:$N,ROW('WV 4.0'!454:454),0),"")</f>
        <v/>
      </c>
      <c r="K465" s="27" t="str">
        <f>IFERROR(HLOOKUP(Таблица5[[#Headers],[Сумма КазНИИСА]],'WV 4.0'!$A:$N,ROW('WV 4.0'!454:454),0),"")</f>
        <v/>
      </c>
      <c r="L465" s="27">
        <f>IFERROR(HLOOKUP(Таблица5[[#Headers],[Код КазНИИСА]],'WV 4.0'!$A:$N,ROW('WV 4.0'!454:454),0),"")</f>
        <v>0</v>
      </c>
      <c r="M465" s="27" t="str">
        <f>IFERROR(HLOOKUP(Таблица5[[#Headers],[РРЦ в тнг]],'WV 4.0'!$A:$N,ROW('WV 4.0'!454:454),0),"")</f>
        <v/>
      </c>
      <c r="N465" s="27" t="str">
        <f>IFERROR(HLOOKUP(Таблица5[[#Headers],[Сумма РРЦ]],'WV 4.0'!$A:$N,ROW('WV 4.0'!454:454),0),"")</f>
        <v/>
      </c>
    </row>
    <row r="466" spans="1:14" x14ac:dyDescent="0.25">
      <c r="A466" s="29">
        <f>IFERROR('WV 4.0'!A455, " ")</f>
        <v>0</v>
      </c>
      <c r="B466" s="29">
        <f>IFERROR('WV 4.0'!B455, " ")</f>
        <v>0</v>
      </c>
      <c r="C466" s="29">
        <f>IFERROR('WV 4.0'!C455, " ")</f>
        <v>0</v>
      </c>
      <c r="D466" s="29">
        <f>IFERROR('WV 4.0'!D455, " ")</f>
        <v>0</v>
      </c>
      <c r="E466" s="29">
        <f>IFERROR('WV 4.0'!E455, " ")</f>
        <v>0</v>
      </c>
      <c r="F466" s="27">
        <f>IFERROR(ROUND(HLOOKUP(Таблица5[[#Headers],[Цена КП]],'WV 4.0'!$A:$N,ROW('WV 4.0'!455:455),0),0),"")</f>
        <v>0</v>
      </c>
      <c r="G466" s="27">
        <f>IFERROR(Таблица5[[#This Row],[Цена КП]]*Таблица5[[#This Row],[Кол-во]],"")</f>
        <v>0</v>
      </c>
      <c r="H466" s="42">
        <f>IFERROR(HLOOKUP(Таблица5[[#Headers],[Комментарии]],'WV 4.0'!$A:$N,ROW('WV 4.0'!455:455),0),"")</f>
        <v>0</v>
      </c>
      <c r="I466" s="42">
        <f>IFERROR(HLOOKUP(Таблица5[[#Headers],[Срок поставки]],'WV 4.0'!$A:$N,ROW('WV 4.0'!455:455),0),"")</f>
        <v>0</v>
      </c>
      <c r="J466" s="27" t="str">
        <f>IFERROR(HLOOKUP(Таблица5[[#Headers],[Цена КазНИИСА]],'WV 4.0'!$A:$N,ROW('WV 4.0'!455:455),0),"")</f>
        <v/>
      </c>
      <c r="K466" s="27" t="str">
        <f>IFERROR(HLOOKUP(Таблица5[[#Headers],[Сумма КазНИИСА]],'WV 4.0'!$A:$N,ROW('WV 4.0'!455:455),0),"")</f>
        <v/>
      </c>
      <c r="L466" s="27">
        <f>IFERROR(HLOOKUP(Таблица5[[#Headers],[Код КазНИИСА]],'WV 4.0'!$A:$N,ROW('WV 4.0'!455:455),0),"")</f>
        <v>0</v>
      </c>
      <c r="M466" s="27" t="str">
        <f>IFERROR(HLOOKUP(Таблица5[[#Headers],[РРЦ в тнг]],'WV 4.0'!$A:$N,ROW('WV 4.0'!455:455),0),"")</f>
        <v/>
      </c>
      <c r="N466" s="27" t="str">
        <f>IFERROR(HLOOKUP(Таблица5[[#Headers],[Сумма РРЦ]],'WV 4.0'!$A:$N,ROW('WV 4.0'!455:455),0),"")</f>
        <v/>
      </c>
    </row>
    <row r="467" spans="1:14" x14ac:dyDescent="0.25">
      <c r="A467" s="29">
        <f>IFERROR('WV 4.0'!A456, " ")</f>
        <v>0</v>
      </c>
      <c r="B467" s="29">
        <f>IFERROR('WV 4.0'!B456, " ")</f>
        <v>0</v>
      </c>
      <c r="C467" s="29">
        <f>IFERROR('WV 4.0'!C456, " ")</f>
        <v>0</v>
      </c>
      <c r="D467" s="29">
        <f>IFERROR('WV 4.0'!D456, " ")</f>
        <v>0</v>
      </c>
      <c r="E467" s="29">
        <f>IFERROR('WV 4.0'!E456, " ")</f>
        <v>0</v>
      </c>
      <c r="F467" s="27">
        <f>IFERROR(ROUND(HLOOKUP(Таблица5[[#Headers],[Цена КП]],'WV 4.0'!$A:$N,ROW('WV 4.0'!456:456),0),0),"")</f>
        <v>0</v>
      </c>
      <c r="G467" s="27">
        <f>IFERROR(Таблица5[[#This Row],[Цена КП]]*Таблица5[[#This Row],[Кол-во]],"")</f>
        <v>0</v>
      </c>
      <c r="H467" s="42">
        <f>IFERROR(HLOOKUP(Таблица5[[#Headers],[Комментарии]],'WV 4.0'!$A:$N,ROW('WV 4.0'!456:456),0),"")</f>
        <v>0</v>
      </c>
      <c r="I467" s="42">
        <f>IFERROR(HLOOKUP(Таблица5[[#Headers],[Срок поставки]],'WV 4.0'!$A:$N,ROW('WV 4.0'!456:456),0),"")</f>
        <v>0</v>
      </c>
      <c r="J467" s="27" t="str">
        <f>IFERROR(HLOOKUP(Таблица5[[#Headers],[Цена КазНИИСА]],'WV 4.0'!$A:$N,ROW('WV 4.0'!456:456),0),"")</f>
        <v/>
      </c>
      <c r="K467" s="27" t="str">
        <f>IFERROR(HLOOKUP(Таблица5[[#Headers],[Сумма КазНИИСА]],'WV 4.0'!$A:$N,ROW('WV 4.0'!456:456),0),"")</f>
        <v/>
      </c>
      <c r="L467" s="27">
        <f>IFERROR(HLOOKUP(Таблица5[[#Headers],[Код КазНИИСА]],'WV 4.0'!$A:$N,ROW('WV 4.0'!456:456),0),"")</f>
        <v>0</v>
      </c>
      <c r="M467" s="27" t="str">
        <f>IFERROR(HLOOKUP(Таблица5[[#Headers],[РРЦ в тнг]],'WV 4.0'!$A:$N,ROW('WV 4.0'!456:456),0),"")</f>
        <v/>
      </c>
      <c r="N467" s="27" t="str">
        <f>IFERROR(HLOOKUP(Таблица5[[#Headers],[Сумма РРЦ]],'WV 4.0'!$A:$N,ROW('WV 4.0'!456:456),0),"")</f>
        <v/>
      </c>
    </row>
    <row r="468" spans="1:14" x14ac:dyDescent="0.25">
      <c r="A468" s="29">
        <f>IFERROR('WV 4.0'!A457, " ")</f>
        <v>0</v>
      </c>
      <c r="B468" s="29">
        <f>IFERROR('WV 4.0'!B457, " ")</f>
        <v>0</v>
      </c>
      <c r="C468" s="29">
        <f>IFERROR('WV 4.0'!C457, " ")</f>
        <v>0</v>
      </c>
      <c r="D468" s="29">
        <f>IFERROR('WV 4.0'!D457, " ")</f>
        <v>0</v>
      </c>
      <c r="E468" s="29">
        <f>IFERROR('WV 4.0'!E457, " ")</f>
        <v>0</v>
      </c>
      <c r="F468" s="27">
        <f>IFERROR(ROUND(HLOOKUP(Таблица5[[#Headers],[Цена КП]],'WV 4.0'!$A:$N,ROW('WV 4.0'!457:457),0),0),"")</f>
        <v>0</v>
      </c>
      <c r="G468" s="27">
        <f>IFERROR(Таблица5[[#This Row],[Цена КП]]*Таблица5[[#This Row],[Кол-во]],"")</f>
        <v>0</v>
      </c>
      <c r="H468" s="42">
        <f>IFERROR(HLOOKUP(Таблица5[[#Headers],[Комментарии]],'WV 4.0'!$A:$N,ROW('WV 4.0'!457:457),0),"")</f>
        <v>0</v>
      </c>
      <c r="I468" s="42">
        <f>IFERROR(HLOOKUP(Таблица5[[#Headers],[Срок поставки]],'WV 4.0'!$A:$N,ROW('WV 4.0'!457:457),0),"")</f>
        <v>0</v>
      </c>
      <c r="J468" s="27" t="str">
        <f>IFERROR(HLOOKUP(Таблица5[[#Headers],[Цена КазНИИСА]],'WV 4.0'!$A:$N,ROW('WV 4.0'!457:457),0),"")</f>
        <v/>
      </c>
      <c r="K468" s="27" t="str">
        <f>IFERROR(HLOOKUP(Таблица5[[#Headers],[Сумма КазНИИСА]],'WV 4.0'!$A:$N,ROW('WV 4.0'!457:457),0),"")</f>
        <v/>
      </c>
      <c r="L468" s="27">
        <f>IFERROR(HLOOKUP(Таблица5[[#Headers],[Код КазНИИСА]],'WV 4.0'!$A:$N,ROW('WV 4.0'!457:457),0),"")</f>
        <v>0</v>
      </c>
      <c r="M468" s="27" t="str">
        <f>IFERROR(HLOOKUP(Таблица5[[#Headers],[РРЦ в тнг]],'WV 4.0'!$A:$N,ROW('WV 4.0'!457:457),0),"")</f>
        <v/>
      </c>
      <c r="N468" s="27" t="str">
        <f>IFERROR(HLOOKUP(Таблица5[[#Headers],[Сумма РРЦ]],'WV 4.0'!$A:$N,ROW('WV 4.0'!457:457),0),"")</f>
        <v/>
      </c>
    </row>
    <row r="469" spans="1:14" x14ac:dyDescent="0.25">
      <c r="A469" s="29">
        <f>IFERROR('WV 4.0'!A458, " ")</f>
        <v>0</v>
      </c>
      <c r="B469" s="29">
        <f>IFERROR('WV 4.0'!B458, " ")</f>
        <v>0</v>
      </c>
      <c r="C469" s="29">
        <f>IFERROR('WV 4.0'!C458, " ")</f>
        <v>0</v>
      </c>
      <c r="D469" s="29">
        <f>IFERROR('WV 4.0'!D458, " ")</f>
        <v>0</v>
      </c>
      <c r="E469" s="29">
        <f>IFERROR('WV 4.0'!E458, " ")</f>
        <v>0</v>
      </c>
      <c r="F469" s="27">
        <f>IFERROR(ROUND(HLOOKUP(Таблица5[[#Headers],[Цена КП]],'WV 4.0'!$A:$N,ROW('WV 4.0'!458:458),0),0),"")</f>
        <v>0</v>
      </c>
      <c r="G469" s="27">
        <f>IFERROR(Таблица5[[#This Row],[Цена КП]]*Таблица5[[#This Row],[Кол-во]],"")</f>
        <v>0</v>
      </c>
      <c r="H469" s="42">
        <f>IFERROR(HLOOKUP(Таблица5[[#Headers],[Комментарии]],'WV 4.0'!$A:$N,ROW('WV 4.0'!458:458),0),"")</f>
        <v>0</v>
      </c>
      <c r="I469" s="42">
        <f>IFERROR(HLOOKUP(Таблица5[[#Headers],[Срок поставки]],'WV 4.0'!$A:$N,ROW('WV 4.0'!458:458),0),"")</f>
        <v>0</v>
      </c>
      <c r="J469" s="27" t="str">
        <f>IFERROR(HLOOKUP(Таблица5[[#Headers],[Цена КазНИИСА]],'WV 4.0'!$A:$N,ROW('WV 4.0'!458:458),0),"")</f>
        <v/>
      </c>
      <c r="K469" s="27" t="str">
        <f>IFERROR(HLOOKUP(Таблица5[[#Headers],[Сумма КазНИИСА]],'WV 4.0'!$A:$N,ROW('WV 4.0'!458:458),0),"")</f>
        <v/>
      </c>
      <c r="L469" s="27">
        <f>IFERROR(HLOOKUP(Таблица5[[#Headers],[Код КазНИИСА]],'WV 4.0'!$A:$N,ROW('WV 4.0'!458:458),0),"")</f>
        <v>0</v>
      </c>
      <c r="M469" s="27" t="str">
        <f>IFERROR(HLOOKUP(Таблица5[[#Headers],[РРЦ в тнг]],'WV 4.0'!$A:$N,ROW('WV 4.0'!458:458),0),"")</f>
        <v/>
      </c>
      <c r="N469" s="27" t="str">
        <f>IFERROR(HLOOKUP(Таблица5[[#Headers],[Сумма РРЦ]],'WV 4.0'!$A:$N,ROW('WV 4.0'!458:458),0),"")</f>
        <v/>
      </c>
    </row>
    <row r="470" spans="1:14" x14ac:dyDescent="0.25">
      <c r="A470" s="29">
        <f>IFERROR('WV 4.0'!A459, " ")</f>
        <v>0</v>
      </c>
      <c r="B470" s="29">
        <f>IFERROR('WV 4.0'!B459, " ")</f>
        <v>0</v>
      </c>
      <c r="C470" s="29">
        <f>IFERROR('WV 4.0'!C459, " ")</f>
        <v>0</v>
      </c>
      <c r="D470" s="29">
        <f>IFERROR('WV 4.0'!D459, " ")</f>
        <v>0</v>
      </c>
      <c r="E470" s="29">
        <f>IFERROR('WV 4.0'!E459, " ")</f>
        <v>0</v>
      </c>
      <c r="F470" s="27">
        <f>IFERROR(ROUND(HLOOKUP(Таблица5[[#Headers],[Цена КП]],'WV 4.0'!$A:$N,ROW('WV 4.0'!459:459),0),0),"")</f>
        <v>0</v>
      </c>
      <c r="G470" s="27">
        <f>IFERROR(Таблица5[[#This Row],[Цена КП]]*Таблица5[[#This Row],[Кол-во]],"")</f>
        <v>0</v>
      </c>
      <c r="H470" s="42">
        <f>IFERROR(HLOOKUP(Таблица5[[#Headers],[Комментарии]],'WV 4.0'!$A:$N,ROW('WV 4.0'!459:459),0),"")</f>
        <v>0</v>
      </c>
      <c r="I470" s="42">
        <f>IFERROR(HLOOKUP(Таблица5[[#Headers],[Срок поставки]],'WV 4.0'!$A:$N,ROW('WV 4.0'!459:459),0),"")</f>
        <v>0</v>
      </c>
      <c r="J470" s="27" t="str">
        <f>IFERROR(HLOOKUP(Таблица5[[#Headers],[Цена КазНИИСА]],'WV 4.0'!$A:$N,ROW('WV 4.0'!459:459),0),"")</f>
        <v/>
      </c>
      <c r="K470" s="27" t="str">
        <f>IFERROR(HLOOKUP(Таблица5[[#Headers],[Сумма КазНИИСА]],'WV 4.0'!$A:$N,ROW('WV 4.0'!459:459),0),"")</f>
        <v/>
      </c>
      <c r="L470" s="27">
        <f>IFERROR(HLOOKUP(Таблица5[[#Headers],[Код КазНИИСА]],'WV 4.0'!$A:$N,ROW('WV 4.0'!459:459),0),"")</f>
        <v>0</v>
      </c>
      <c r="M470" s="27" t="str">
        <f>IFERROR(HLOOKUP(Таблица5[[#Headers],[РРЦ в тнг]],'WV 4.0'!$A:$N,ROW('WV 4.0'!459:459),0),"")</f>
        <v/>
      </c>
      <c r="N470" s="27" t="str">
        <f>IFERROR(HLOOKUP(Таблица5[[#Headers],[Сумма РРЦ]],'WV 4.0'!$A:$N,ROW('WV 4.0'!459:459),0),"")</f>
        <v/>
      </c>
    </row>
    <row r="471" spans="1:14" x14ac:dyDescent="0.25">
      <c r="A471" s="29">
        <f>IFERROR('WV 4.0'!A460, " ")</f>
        <v>0</v>
      </c>
      <c r="B471" s="29">
        <f>IFERROR('WV 4.0'!B460, " ")</f>
        <v>0</v>
      </c>
      <c r="C471" s="29">
        <f>IFERROR('WV 4.0'!C460, " ")</f>
        <v>0</v>
      </c>
      <c r="D471" s="29">
        <f>IFERROR('WV 4.0'!D460, " ")</f>
        <v>0</v>
      </c>
      <c r="E471" s="29">
        <f>IFERROR('WV 4.0'!E460, " ")</f>
        <v>0</v>
      </c>
      <c r="F471" s="27">
        <f>IFERROR(ROUND(HLOOKUP(Таблица5[[#Headers],[Цена КП]],'WV 4.0'!$A:$N,ROW('WV 4.0'!460:460),0),0),"")</f>
        <v>0</v>
      </c>
      <c r="G471" s="27">
        <f>IFERROR(Таблица5[[#This Row],[Цена КП]]*Таблица5[[#This Row],[Кол-во]],"")</f>
        <v>0</v>
      </c>
      <c r="H471" s="42">
        <f>IFERROR(HLOOKUP(Таблица5[[#Headers],[Комментарии]],'WV 4.0'!$A:$N,ROW('WV 4.0'!460:460),0),"")</f>
        <v>0</v>
      </c>
      <c r="I471" s="42">
        <f>IFERROR(HLOOKUP(Таблица5[[#Headers],[Срок поставки]],'WV 4.0'!$A:$N,ROW('WV 4.0'!460:460),0),"")</f>
        <v>0</v>
      </c>
      <c r="J471" s="27" t="str">
        <f>IFERROR(HLOOKUP(Таблица5[[#Headers],[Цена КазНИИСА]],'WV 4.0'!$A:$N,ROW('WV 4.0'!460:460),0),"")</f>
        <v/>
      </c>
      <c r="K471" s="27" t="str">
        <f>IFERROR(HLOOKUP(Таблица5[[#Headers],[Сумма КазНИИСА]],'WV 4.0'!$A:$N,ROW('WV 4.0'!460:460),0),"")</f>
        <v/>
      </c>
      <c r="L471" s="27">
        <f>IFERROR(HLOOKUP(Таблица5[[#Headers],[Код КазНИИСА]],'WV 4.0'!$A:$N,ROW('WV 4.0'!460:460),0),"")</f>
        <v>0</v>
      </c>
      <c r="M471" s="27" t="str">
        <f>IFERROR(HLOOKUP(Таблица5[[#Headers],[РРЦ в тнг]],'WV 4.0'!$A:$N,ROW('WV 4.0'!460:460),0),"")</f>
        <v/>
      </c>
      <c r="N471" s="27" t="str">
        <f>IFERROR(HLOOKUP(Таблица5[[#Headers],[Сумма РРЦ]],'WV 4.0'!$A:$N,ROW('WV 4.0'!460:460),0),"")</f>
        <v/>
      </c>
    </row>
    <row r="472" spans="1:14" x14ac:dyDescent="0.25">
      <c r="A472" s="29">
        <f>IFERROR('WV 4.0'!A461, " ")</f>
        <v>0</v>
      </c>
      <c r="B472" s="29">
        <f>IFERROR('WV 4.0'!B461, " ")</f>
        <v>0</v>
      </c>
      <c r="C472" s="29">
        <f>IFERROR('WV 4.0'!C461, " ")</f>
        <v>0</v>
      </c>
      <c r="D472" s="29">
        <f>IFERROR('WV 4.0'!D461, " ")</f>
        <v>0</v>
      </c>
      <c r="E472" s="29">
        <f>IFERROR('WV 4.0'!E461, " ")</f>
        <v>0</v>
      </c>
      <c r="F472" s="27">
        <f>IFERROR(ROUND(HLOOKUP(Таблица5[[#Headers],[Цена КП]],'WV 4.0'!$A:$N,ROW('WV 4.0'!461:461),0),0),"")</f>
        <v>0</v>
      </c>
      <c r="G472" s="27">
        <f>IFERROR(Таблица5[[#This Row],[Цена КП]]*Таблица5[[#This Row],[Кол-во]],"")</f>
        <v>0</v>
      </c>
      <c r="H472" s="42">
        <f>IFERROR(HLOOKUP(Таблица5[[#Headers],[Комментарии]],'WV 4.0'!$A:$N,ROW('WV 4.0'!461:461),0),"")</f>
        <v>0</v>
      </c>
      <c r="I472" s="42">
        <f>IFERROR(HLOOKUP(Таблица5[[#Headers],[Срок поставки]],'WV 4.0'!$A:$N,ROW('WV 4.0'!461:461),0),"")</f>
        <v>0</v>
      </c>
      <c r="J472" s="27" t="str">
        <f>IFERROR(HLOOKUP(Таблица5[[#Headers],[Цена КазНИИСА]],'WV 4.0'!$A:$N,ROW('WV 4.0'!461:461),0),"")</f>
        <v/>
      </c>
      <c r="K472" s="27" t="str">
        <f>IFERROR(HLOOKUP(Таблица5[[#Headers],[Сумма КазНИИСА]],'WV 4.0'!$A:$N,ROW('WV 4.0'!461:461),0),"")</f>
        <v/>
      </c>
      <c r="L472" s="27">
        <f>IFERROR(HLOOKUP(Таблица5[[#Headers],[Код КазНИИСА]],'WV 4.0'!$A:$N,ROW('WV 4.0'!461:461),0),"")</f>
        <v>0</v>
      </c>
      <c r="M472" s="27" t="str">
        <f>IFERROR(HLOOKUP(Таблица5[[#Headers],[РРЦ в тнг]],'WV 4.0'!$A:$N,ROW('WV 4.0'!461:461),0),"")</f>
        <v/>
      </c>
      <c r="N472" s="27" t="str">
        <f>IFERROR(HLOOKUP(Таблица5[[#Headers],[Сумма РРЦ]],'WV 4.0'!$A:$N,ROW('WV 4.0'!461:461),0),"")</f>
        <v/>
      </c>
    </row>
    <row r="473" spans="1:14" x14ac:dyDescent="0.25">
      <c r="A473" s="29">
        <f>IFERROR('WV 4.0'!A462, " ")</f>
        <v>0</v>
      </c>
      <c r="B473" s="29">
        <f>IFERROR('WV 4.0'!B462, " ")</f>
        <v>0</v>
      </c>
      <c r="C473" s="29">
        <f>IFERROR('WV 4.0'!C462, " ")</f>
        <v>0</v>
      </c>
      <c r="D473" s="29">
        <f>IFERROR('WV 4.0'!D462, " ")</f>
        <v>0</v>
      </c>
      <c r="E473" s="29">
        <f>IFERROR('WV 4.0'!E462, " ")</f>
        <v>0</v>
      </c>
      <c r="F473" s="27">
        <f>IFERROR(ROUND(HLOOKUP(Таблица5[[#Headers],[Цена КП]],'WV 4.0'!$A:$N,ROW('WV 4.0'!462:462),0),0),"")</f>
        <v>0</v>
      </c>
      <c r="G473" s="27">
        <f>IFERROR(Таблица5[[#This Row],[Цена КП]]*Таблица5[[#This Row],[Кол-во]],"")</f>
        <v>0</v>
      </c>
      <c r="H473" s="42">
        <f>IFERROR(HLOOKUP(Таблица5[[#Headers],[Комментарии]],'WV 4.0'!$A:$N,ROW('WV 4.0'!462:462),0),"")</f>
        <v>0</v>
      </c>
      <c r="I473" s="42">
        <f>IFERROR(HLOOKUP(Таблица5[[#Headers],[Срок поставки]],'WV 4.0'!$A:$N,ROW('WV 4.0'!462:462),0),"")</f>
        <v>0</v>
      </c>
      <c r="J473" s="27" t="str">
        <f>IFERROR(HLOOKUP(Таблица5[[#Headers],[Цена КазНИИСА]],'WV 4.0'!$A:$N,ROW('WV 4.0'!462:462),0),"")</f>
        <v/>
      </c>
      <c r="K473" s="27" t="str">
        <f>IFERROR(HLOOKUP(Таблица5[[#Headers],[Сумма КазНИИСА]],'WV 4.0'!$A:$N,ROW('WV 4.0'!462:462),0),"")</f>
        <v/>
      </c>
      <c r="L473" s="27">
        <f>IFERROR(HLOOKUP(Таблица5[[#Headers],[Код КазНИИСА]],'WV 4.0'!$A:$N,ROW('WV 4.0'!462:462),0),"")</f>
        <v>0</v>
      </c>
      <c r="M473" s="27" t="str">
        <f>IFERROR(HLOOKUP(Таблица5[[#Headers],[РРЦ в тнг]],'WV 4.0'!$A:$N,ROW('WV 4.0'!462:462),0),"")</f>
        <v/>
      </c>
      <c r="N473" s="27" t="str">
        <f>IFERROR(HLOOKUP(Таблица5[[#Headers],[Сумма РРЦ]],'WV 4.0'!$A:$N,ROW('WV 4.0'!462:462),0),"")</f>
        <v/>
      </c>
    </row>
    <row r="474" spans="1:14" x14ac:dyDescent="0.25">
      <c r="A474" s="29">
        <f>IFERROR('WV 4.0'!A463, " ")</f>
        <v>0</v>
      </c>
      <c r="B474" s="29">
        <f>IFERROR('WV 4.0'!B463, " ")</f>
        <v>0</v>
      </c>
      <c r="C474" s="29">
        <f>IFERROR('WV 4.0'!C463, " ")</f>
        <v>0</v>
      </c>
      <c r="D474" s="29">
        <f>IFERROR('WV 4.0'!D463, " ")</f>
        <v>0</v>
      </c>
      <c r="E474" s="29">
        <f>IFERROR('WV 4.0'!E463, " ")</f>
        <v>0</v>
      </c>
      <c r="F474" s="27">
        <f>IFERROR(ROUND(HLOOKUP(Таблица5[[#Headers],[Цена КП]],'WV 4.0'!$A:$N,ROW('WV 4.0'!463:463),0),0),"")</f>
        <v>0</v>
      </c>
      <c r="G474" s="27">
        <f>IFERROR(Таблица5[[#This Row],[Цена КП]]*Таблица5[[#This Row],[Кол-во]],"")</f>
        <v>0</v>
      </c>
      <c r="H474" s="42">
        <f>IFERROR(HLOOKUP(Таблица5[[#Headers],[Комментарии]],'WV 4.0'!$A:$N,ROW('WV 4.0'!463:463),0),"")</f>
        <v>0</v>
      </c>
      <c r="I474" s="42">
        <f>IFERROR(HLOOKUP(Таблица5[[#Headers],[Срок поставки]],'WV 4.0'!$A:$N,ROW('WV 4.0'!463:463),0),"")</f>
        <v>0</v>
      </c>
      <c r="J474" s="27" t="str">
        <f>IFERROR(HLOOKUP(Таблица5[[#Headers],[Цена КазНИИСА]],'WV 4.0'!$A:$N,ROW('WV 4.0'!463:463),0),"")</f>
        <v/>
      </c>
      <c r="K474" s="27" t="str">
        <f>IFERROR(HLOOKUP(Таблица5[[#Headers],[Сумма КазНИИСА]],'WV 4.0'!$A:$N,ROW('WV 4.0'!463:463),0),"")</f>
        <v/>
      </c>
      <c r="L474" s="27">
        <f>IFERROR(HLOOKUP(Таблица5[[#Headers],[Код КазНИИСА]],'WV 4.0'!$A:$N,ROW('WV 4.0'!463:463),0),"")</f>
        <v>0</v>
      </c>
      <c r="M474" s="27" t="str">
        <f>IFERROR(HLOOKUP(Таблица5[[#Headers],[РРЦ в тнг]],'WV 4.0'!$A:$N,ROW('WV 4.0'!463:463),0),"")</f>
        <v/>
      </c>
      <c r="N474" s="27" t="str">
        <f>IFERROR(HLOOKUP(Таблица5[[#Headers],[Сумма РРЦ]],'WV 4.0'!$A:$N,ROW('WV 4.0'!463:463),0),"")</f>
        <v/>
      </c>
    </row>
    <row r="475" spans="1:14" x14ac:dyDescent="0.25">
      <c r="A475" s="29">
        <f>IFERROR('WV 4.0'!A464, " ")</f>
        <v>0</v>
      </c>
      <c r="B475" s="29">
        <f>IFERROR('WV 4.0'!B464, " ")</f>
        <v>0</v>
      </c>
      <c r="C475" s="29">
        <f>IFERROR('WV 4.0'!C464, " ")</f>
        <v>0</v>
      </c>
      <c r="D475" s="29">
        <f>IFERROR('WV 4.0'!D464, " ")</f>
        <v>0</v>
      </c>
      <c r="E475" s="29">
        <f>IFERROR('WV 4.0'!E464, " ")</f>
        <v>0</v>
      </c>
      <c r="F475" s="27">
        <f>IFERROR(ROUND(HLOOKUP(Таблица5[[#Headers],[Цена КП]],'WV 4.0'!$A:$N,ROW('WV 4.0'!464:464),0),0),"")</f>
        <v>0</v>
      </c>
      <c r="G475" s="27">
        <f>IFERROR(Таблица5[[#This Row],[Цена КП]]*Таблица5[[#This Row],[Кол-во]],"")</f>
        <v>0</v>
      </c>
      <c r="H475" s="42">
        <f>IFERROR(HLOOKUP(Таблица5[[#Headers],[Комментарии]],'WV 4.0'!$A:$N,ROW('WV 4.0'!464:464),0),"")</f>
        <v>0</v>
      </c>
      <c r="I475" s="42">
        <f>IFERROR(HLOOKUP(Таблица5[[#Headers],[Срок поставки]],'WV 4.0'!$A:$N,ROW('WV 4.0'!464:464),0),"")</f>
        <v>0</v>
      </c>
      <c r="J475" s="27" t="str">
        <f>IFERROR(HLOOKUP(Таблица5[[#Headers],[Цена КазНИИСА]],'WV 4.0'!$A:$N,ROW('WV 4.0'!464:464),0),"")</f>
        <v/>
      </c>
      <c r="K475" s="27" t="str">
        <f>IFERROR(HLOOKUP(Таблица5[[#Headers],[Сумма КазНИИСА]],'WV 4.0'!$A:$N,ROW('WV 4.0'!464:464),0),"")</f>
        <v/>
      </c>
      <c r="L475" s="27">
        <f>IFERROR(HLOOKUP(Таблица5[[#Headers],[Код КазНИИСА]],'WV 4.0'!$A:$N,ROW('WV 4.0'!464:464),0),"")</f>
        <v>0</v>
      </c>
      <c r="M475" s="27" t="str">
        <f>IFERROR(HLOOKUP(Таблица5[[#Headers],[РРЦ в тнг]],'WV 4.0'!$A:$N,ROW('WV 4.0'!464:464),0),"")</f>
        <v/>
      </c>
      <c r="N475" s="27" t="str">
        <f>IFERROR(HLOOKUP(Таблица5[[#Headers],[Сумма РРЦ]],'WV 4.0'!$A:$N,ROW('WV 4.0'!464:464),0),"")</f>
        <v/>
      </c>
    </row>
    <row r="476" spans="1:14" x14ac:dyDescent="0.25">
      <c r="A476" s="29">
        <f>IFERROR('WV 4.0'!A465, " ")</f>
        <v>0</v>
      </c>
      <c r="B476" s="29">
        <f>IFERROR('WV 4.0'!B465, " ")</f>
        <v>0</v>
      </c>
      <c r="C476" s="29">
        <f>IFERROR('WV 4.0'!C465, " ")</f>
        <v>0</v>
      </c>
      <c r="D476" s="29">
        <f>IFERROR('WV 4.0'!D465, " ")</f>
        <v>0</v>
      </c>
      <c r="E476" s="29">
        <f>IFERROR('WV 4.0'!E465, " ")</f>
        <v>0</v>
      </c>
      <c r="F476" s="27">
        <f>IFERROR(ROUND(HLOOKUP(Таблица5[[#Headers],[Цена КП]],'WV 4.0'!$A:$N,ROW('WV 4.0'!465:465),0),0),"")</f>
        <v>0</v>
      </c>
      <c r="G476" s="27">
        <f>IFERROR(Таблица5[[#This Row],[Цена КП]]*Таблица5[[#This Row],[Кол-во]],"")</f>
        <v>0</v>
      </c>
      <c r="H476" s="42">
        <f>IFERROR(HLOOKUP(Таблица5[[#Headers],[Комментарии]],'WV 4.0'!$A:$N,ROW('WV 4.0'!465:465),0),"")</f>
        <v>0</v>
      </c>
      <c r="I476" s="42">
        <f>IFERROR(HLOOKUP(Таблица5[[#Headers],[Срок поставки]],'WV 4.0'!$A:$N,ROW('WV 4.0'!465:465),0),"")</f>
        <v>0</v>
      </c>
      <c r="J476" s="27" t="str">
        <f>IFERROR(HLOOKUP(Таблица5[[#Headers],[Цена КазНИИСА]],'WV 4.0'!$A:$N,ROW('WV 4.0'!465:465),0),"")</f>
        <v/>
      </c>
      <c r="K476" s="27" t="str">
        <f>IFERROR(HLOOKUP(Таблица5[[#Headers],[Сумма КазНИИСА]],'WV 4.0'!$A:$N,ROW('WV 4.0'!465:465),0),"")</f>
        <v/>
      </c>
      <c r="L476" s="27">
        <f>IFERROR(HLOOKUP(Таблица5[[#Headers],[Код КазНИИСА]],'WV 4.0'!$A:$N,ROW('WV 4.0'!465:465),0),"")</f>
        <v>0</v>
      </c>
      <c r="M476" s="27" t="str">
        <f>IFERROR(HLOOKUP(Таблица5[[#Headers],[РРЦ в тнг]],'WV 4.0'!$A:$N,ROW('WV 4.0'!465:465),0),"")</f>
        <v/>
      </c>
      <c r="N476" s="27" t="str">
        <f>IFERROR(HLOOKUP(Таблица5[[#Headers],[Сумма РРЦ]],'WV 4.0'!$A:$N,ROW('WV 4.0'!465:465),0),"")</f>
        <v/>
      </c>
    </row>
    <row r="477" spans="1:14" x14ac:dyDescent="0.25">
      <c r="A477" s="29">
        <f>IFERROR('WV 4.0'!A466, " ")</f>
        <v>0</v>
      </c>
      <c r="B477" s="29">
        <f>IFERROR('WV 4.0'!B466, " ")</f>
        <v>0</v>
      </c>
      <c r="C477" s="29">
        <f>IFERROR('WV 4.0'!C466, " ")</f>
        <v>0</v>
      </c>
      <c r="D477" s="29">
        <f>IFERROR('WV 4.0'!D466, " ")</f>
        <v>0</v>
      </c>
      <c r="E477" s="29">
        <f>IFERROR('WV 4.0'!E466, " ")</f>
        <v>0</v>
      </c>
      <c r="F477" s="27">
        <f>IFERROR(ROUND(HLOOKUP(Таблица5[[#Headers],[Цена КП]],'WV 4.0'!$A:$N,ROW('WV 4.0'!466:466),0),0),"")</f>
        <v>0</v>
      </c>
      <c r="G477" s="27">
        <f>IFERROR(Таблица5[[#This Row],[Цена КП]]*Таблица5[[#This Row],[Кол-во]],"")</f>
        <v>0</v>
      </c>
      <c r="H477" s="42">
        <f>IFERROR(HLOOKUP(Таблица5[[#Headers],[Комментарии]],'WV 4.0'!$A:$N,ROW('WV 4.0'!466:466),0),"")</f>
        <v>0</v>
      </c>
      <c r="I477" s="42">
        <f>IFERROR(HLOOKUP(Таблица5[[#Headers],[Срок поставки]],'WV 4.0'!$A:$N,ROW('WV 4.0'!466:466),0),"")</f>
        <v>0</v>
      </c>
      <c r="J477" s="27" t="str">
        <f>IFERROR(HLOOKUP(Таблица5[[#Headers],[Цена КазНИИСА]],'WV 4.0'!$A:$N,ROW('WV 4.0'!466:466),0),"")</f>
        <v/>
      </c>
      <c r="K477" s="27" t="str">
        <f>IFERROR(HLOOKUP(Таблица5[[#Headers],[Сумма КазНИИСА]],'WV 4.0'!$A:$N,ROW('WV 4.0'!466:466),0),"")</f>
        <v/>
      </c>
      <c r="L477" s="27">
        <f>IFERROR(HLOOKUP(Таблица5[[#Headers],[Код КазНИИСА]],'WV 4.0'!$A:$N,ROW('WV 4.0'!466:466),0),"")</f>
        <v>0</v>
      </c>
      <c r="M477" s="27" t="str">
        <f>IFERROR(HLOOKUP(Таблица5[[#Headers],[РРЦ в тнг]],'WV 4.0'!$A:$N,ROW('WV 4.0'!466:466),0),"")</f>
        <v/>
      </c>
      <c r="N477" s="27" t="str">
        <f>IFERROR(HLOOKUP(Таблица5[[#Headers],[Сумма РРЦ]],'WV 4.0'!$A:$N,ROW('WV 4.0'!466:466),0),"")</f>
        <v/>
      </c>
    </row>
    <row r="478" spans="1:14" x14ac:dyDescent="0.25">
      <c r="A478" s="29">
        <f>IFERROR('WV 4.0'!A467, " ")</f>
        <v>0</v>
      </c>
      <c r="B478" s="29">
        <f>IFERROR('WV 4.0'!B467, " ")</f>
        <v>0</v>
      </c>
      <c r="C478" s="29">
        <f>IFERROR('WV 4.0'!C467, " ")</f>
        <v>0</v>
      </c>
      <c r="D478" s="29">
        <f>IFERROR('WV 4.0'!D467, " ")</f>
        <v>0</v>
      </c>
      <c r="E478" s="29">
        <f>IFERROR('WV 4.0'!E467, " ")</f>
        <v>0</v>
      </c>
      <c r="F478" s="27">
        <f>IFERROR(ROUND(HLOOKUP(Таблица5[[#Headers],[Цена КП]],'WV 4.0'!$A:$N,ROW('WV 4.0'!467:467),0),0),"")</f>
        <v>0</v>
      </c>
      <c r="G478" s="27">
        <f>IFERROR(Таблица5[[#This Row],[Цена КП]]*Таблица5[[#This Row],[Кол-во]],"")</f>
        <v>0</v>
      </c>
      <c r="H478" s="42">
        <f>IFERROR(HLOOKUP(Таблица5[[#Headers],[Комментарии]],'WV 4.0'!$A:$N,ROW('WV 4.0'!467:467),0),"")</f>
        <v>0</v>
      </c>
      <c r="I478" s="42">
        <f>IFERROR(HLOOKUP(Таблица5[[#Headers],[Срок поставки]],'WV 4.0'!$A:$N,ROW('WV 4.0'!467:467),0),"")</f>
        <v>0</v>
      </c>
      <c r="J478" s="27" t="str">
        <f>IFERROR(HLOOKUP(Таблица5[[#Headers],[Цена КазНИИСА]],'WV 4.0'!$A:$N,ROW('WV 4.0'!467:467),0),"")</f>
        <v/>
      </c>
      <c r="K478" s="27" t="str">
        <f>IFERROR(HLOOKUP(Таблица5[[#Headers],[Сумма КазНИИСА]],'WV 4.0'!$A:$N,ROW('WV 4.0'!467:467),0),"")</f>
        <v/>
      </c>
      <c r="L478" s="27">
        <f>IFERROR(HLOOKUP(Таблица5[[#Headers],[Код КазНИИСА]],'WV 4.0'!$A:$N,ROW('WV 4.0'!467:467),0),"")</f>
        <v>0</v>
      </c>
      <c r="M478" s="27" t="str">
        <f>IFERROR(HLOOKUP(Таблица5[[#Headers],[РРЦ в тнг]],'WV 4.0'!$A:$N,ROW('WV 4.0'!467:467),0),"")</f>
        <v/>
      </c>
      <c r="N478" s="27" t="str">
        <f>IFERROR(HLOOKUP(Таблица5[[#Headers],[Сумма РРЦ]],'WV 4.0'!$A:$N,ROW('WV 4.0'!467:467),0),"")</f>
        <v/>
      </c>
    </row>
    <row r="479" spans="1:14" x14ac:dyDescent="0.25">
      <c r="A479" s="29">
        <f>IFERROR('WV 4.0'!A468, " ")</f>
        <v>0</v>
      </c>
      <c r="B479" s="29">
        <f>IFERROR('WV 4.0'!B468, " ")</f>
        <v>0</v>
      </c>
      <c r="C479" s="29">
        <f>IFERROR('WV 4.0'!C468, " ")</f>
        <v>0</v>
      </c>
      <c r="D479" s="29">
        <f>IFERROR('WV 4.0'!D468, " ")</f>
        <v>0</v>
      </c>
      <c r="E479" s="29">
        <f>IFERROR('WV 4.0'!E468, " ")</f>
        <v>0</v>
      </c>
      <c r="F479" s="27">
        <f>IFERROR(ROUND(HLOOKUP(Таблица5[[#Headers],[Цена КП]],'WV 4.0'!$A:$N,ROW('WV 4.0'!468:468),0),0),"")</f>
        <v>0</v>
      </c>
      <c r="G479" s="27">
        <f>IFERROR(Таблица5[[#This Row],[Цена КП]]*Таблица5[[#This Row],[Кол-во]],"")</f>
        <v>0</v>
      </c>
      <c r="H479" s="42">
        <f>IFERROR(HLOOKUP(Таблица5[[#Headers],[Комментарии]],'WV 4.0'!$A:$N,ROW('WV 4.0'!468:468),0),"")</f>
        <v>0</v>
      </c>
      <c r="I479" s="42">
        <f>IFERROR(HLOOKUP(Таблица5[[#Headers],[Срок поставки]],'WV 4.0'!$A:$N,ROW('WV 4.0'!468:468),0),"")</f>
        <v>0</v>
      </c>
      <c r="J479" s="27" t="str">
        <f>IFERROR(HLOOKUP(Таблица5[[#Headers],[Цена КазНИИСА]],'WV 4.0'!$A:$N,ROW('WV 4.0'!468:468),0),"")</f>
        <v/>
      </c>
      <c r="K479" s="27" t="str">
        <f>IFERROR(HLOOKUP(Таблица5[[#Headers],[Сумма КазНИИСА]],'WV 4.0'!$A:$N,ROW('WV 4.0'!468:468),0),"")</f>
        <v/>
      </c>
      <c r="L479" s="27">
        <f>IFERROR(HLOOKUP(Таблица5[[#Headers],[Код КазНИИСА]],'WV 4.0'!$A:$N,ROW('WV 4.0'!468:468),0),"")</f>
        <v>0</v>
      </c>
      <c r="M479" s="27" t="str">
        <f>IFERROR(HLOOKUP(Таблица5[[#Headers],[РРЦ в тнг]],'WV 4.0'!$A:$N,ROW('WV 4.0'!468:468),0),"")</f>
        <v/>
      </c>
      <c r="N479" s="27" t="str">
        <f>IFERROR(HLOOKUP(Таблица5[[#Headers],[Сумма РРЦ]],'WV 4.0'!$A:$N,ROW('WV 4.0'!468:468),0),"")</f>
        <v/>
      </c>
    </row>
    <row r="480" spans="1:14" x14ac:dyDescent="0.25">
      <c r="A480" s="29">
        <f>IFERROR('WV 4.0'!A469, " ")</f>
        <v>0</v>
      </c>
      <c r="B480" s="29">
        <f>IFERROR('WV 4.0'!B469, " ")</f>
        <v>0</v>
      </c>
      <c r="C480" s="29">
        <f>IFERROR('WV 4.0'!C469, " ")</f>
        <v>0</v>
      </c>
      <c r="D480" s="29">
        <f>IFERROR('WV 4.0'!D469, " ")</f>
        <v>0</v>
      </c>
      <c r="E480" s="29">
        <f>IFERROR('WV 4.0'!E469, " ")</f>
        <v>0</v>
      </c>
      <c r="F480" s="27">
        <f>IFERROR(ROUND(HLOOKUP(Таблица5[[#Headers],[Цена КП]],'WV 4.0'!$A:$N,ROW('WV 4.0'!469:469),0),0),"")</f>
        <v>0</v>
      </c>
      <c r="G480" s="27">
        <f>IFERROR(Таблица5[[#This Row],[Цена КП]]*Таблица5[[#This Row],[Кол-во]],"")</f>
        <v>0</v>
      </c>
      <c r="H480" s="42">
        <f>IFERROR(HLOOKUP(Таблица5[[#Headers],[Комментарии]],'WV 4.0'!$A:$N,ROW('WV 4.0'!469:469),0),"")</f>
        <v>0</v>
      </c>
      <c r="I480" s="42">
        <f>IFERROR(HLOOKUP(Таблица5[[#Headers],[Срок поставки]],'WV 4.0'!$A:$N,ROW('WV 4.0'!469:469),0),"")</f>
        <v>0</v>
      </c>
      <c r="J480" s="27" t="str">
        <f>IFERROR(HLOOKUP(Таблица5[[#Headers],[Цена КазНИИСА]],'WV 4.0'!$A:$N,ROW('WV 4.0'!469:469),0),"")</f>
        <v/>
      </c>
      <c r="K480" s="27" t="str">
        <f>IFERROR(HLOOKUP(Таблица5[[#Headers],[Сумма КазНИИСА]],'WV 4.0'!$A:$N,ROW('WV 4.0'!469:469),0),"")</f>
        <v/>
      </c>
      <c r="L480" s="27">
        <f>IFERROR(HLOOKUP(Таблица5[[#Headers],[Код КазНИИСА]],'WV 4.0'!$A:$N,ROW('WV 4.0'!469:469),0),"")</f>
        <v>0</v>
      </c>
      <c r="M480" s="27" t="str">
        <f>IFERROR(HLOOKUP(Таблица5[[#Headers],[РРЦ в тнг]],'WV 4.0'!$A:$N,ROW('WV 4.0'!469:469),0),"")</f>
        <v/>
      </c>
      <c r="N480" s="27" t="str">
        <f>IFERROR(HLOOKUP(Таблица5[[#Headers],[Сумма РРЦ]],'WV 4.0'!$A:$N,ROW('WV 4.0'!469:469),0),"")</f>
        <v/>
      </c>
    </row>
    <row r="481" spans="1:14" x14ac:dyDescent="0.25">
      <c r="A481" s="29">
        <f>IFERROR('WV 4.0'!A470, " ")</f>
        <v>0</v>
      </c>
      <c r="B481" s="29">
        <f>IFERROR('WV 4.0'!B470, " ")</f>
        <v>0</v>
      </c>
      <c r="C481" s="29">
        <f>IFERROR('WV 4.0'!C470, " ")</f>
        <v>0</v>
      </c>
      <c r="D481" s="29">
        <f>IFERROR('WV 4.0'!D470, " ")</f>
        <v>0</v>
      </c>
      <c r="E481" s="29">
        <f>IFERROR('WV 4.0'!E470, " ")</f>
        <v>0</v>
      </c>
      <c r="F481" s="27">
        <f>IFERROR(ROUND(HLOOKUP(Таблица5[[#Headers],[Цена КП]],'WV 4.0'!$A:$N,ROW('WV 4.0'!470:470),0),0),"")</f>
        <v>0</v>
      </c>
      <c r="G481" s="27">
        <f>IFERROR(Таблица5[[#This Row],[Цена КП]]*Таблица5[[#This Row],[Кол-во]],"")</f>
        <v>0</v>
      </c>
      <c r="H481" s="42">
        <f>IFERROR(HLOOKUP(Таблица5[[#Headers],[Комментарии]],'WV 4.0'!$A:$N,ROW('WV 4.0'!470:470),0),"")</f>
        <v>0</v>
      </c>
      <c r="I481" s="42">
        <f>IFERROR(HLOOKUP(Таблица5[[#Headers],[Срок поставки]],'WV 4.0'!$A:$N,ROW('WV 4.0'!470:470),0),"")</f>
        <v>0</v>
      </c>
      <c r="J481" s="27" t="str">
        <f>IFERROR(HLOOKUP(Таблица5[[#Headers],[Цена КазНИИСА]],'WV 4.0'!$A:$N,ROW('WV 4.0'!470:470),0),"")</f>
        <v/>
      </c>
      <c r="K481" s="27" t="str">
        <f>IFERROR(HLOOKUP(Таблица5[[#Headers],[Сумма КазНИИСА]],'WV 4.0'!$A:$N,ROW('WV 4.0'!470:470),0),"")</f>
        <v/>
      </c>
      <c r="L481" s="27">
        <f>IFERROR(HLOOKUP(Таблица5[[#Headers],[Код КазНИИСА]],'WV 4.0'!$A:$N,ROW('WV 4.0'!470:470),0),"")</f>
        <v>0</v>
      </c>
      <c r="M481" s="27" t="str">
        <f>IFERROR(HLOOKUP(Таблица5[[#Headers],[РРЦ в тнг]],'WV 4.0'!$A:$N,ROW('WV 4.0'!470:470),0),"")</f>
        <v/>
      </c>
      <c r="N481" s="27" t="str">
        <f>IFERROR(HLOOKUP(Таблица5[[#Headers],[Сумма РРЦ]],'WV 4.0'!$A:$N,ROW('WV 4.0'!470:470),0),"")</f>
        <v/>
      </c>
    </row>
    <row r="482" spans="1:14" x14ac:dyDescent="0.25">
      <c r="A482" s="29">
        <f>IFERROR('WV 4.0'!A471, " ")</f>
        <v>0</v>
      </c>
      <c r="B482" s="29">
        <f>IFERROR('WV 4.0'!B471, " ")</f>
        <v>0</v>
      </c>
      <c r="C482" s="29">
        <f>IFERROR('WV 4.0'!C471, " ")</f>
        <v>0</v>
      </c>
      <c r="D482" s="29">
        <f>IFERROR('WV 4.0'!D471, " ")</f>
        <v>0</v>
      </c>
      <c r="E482" s="29">
        <f>IFERROR('WV 4.0'!E471, " ")</f>
        <v>0</v>
      </c>
      <c r="F482" s="27">
        <f>IFERROR(ROUND(HLOOKUP(Таблица5[[#Headers],[Цена КП]],'WV 4.0'!$A:$N,ROW('WV 4.0'!471:471),0),0),"")</f>
        <v>0</v>
      </c>
      <c r="G482" s="27">
        <f>IFERROR(Таблица5[[#This Row],[Цена КП]]*Таблица5[[#This Row],[Кол-во]],"")</f>
        <v>0</v>
      </c>
      <c r="H482" s="42">
        <f>IFERROR(HLOOKUP(Таблица5[[#Headers],[Комментарии]],'WV 4.0'!$A:$N,ROW('WV 4.0'!471:471),0),"")</f>
        <v>0</v>
      </c>
      <c r="I482" s="42">
        <f>IFERROR(HLOOKUP(Таблица5[[#Headers],[Срок поставки]],'WV 4.0'!$A:$N,ROW('WV 4.0'!471:471),0),"")</f>
        <v>0</v>
      </c>
      <c r="J482" s="27" t="str">
        <f>IFERROR(HLOOKUP(Таблица5[[#Headers],[Цена КазНИИСА]],'WV 4.0'!$A:$N,ROW('WV 4.0'!471:471),0),"")</f>
        <v/>
      </c>
      <c r="K482" s="27" t="str">
        <f>IFERROR(HLOOKUP(Таблица5[[#Headers],[Сумма КазНИИСА]],'WV 4.0'!$A:$N,ROW('WV 4.0'!471:471),0),"")</f>
        <v/>
      </c>
      <c r="L482" s="27">
        <f>IFERROR(HLOOKUP(Таблица5[[#Headers],[Код КазНИИСА]],'WV 4.0'!$A:$N,ROW('WV 4.0'!471:471),0),"")</f>
        <v>0</v>
      </c>
      <c r="M482" s="27" t="str">
        <f>IFERROR(HLOOKUP(Таблица5[[#Headers],[РРЦ в тнг]],'WV 4.0'!$A:$N,ROW('WV 4.0'!471:471),0),"")</f>
        <v/>
      </c>
      <c r="N482" s="27" t="str">
        <f>IFERROR(HLOOKUP(Таблица5[[#Headers],[Сумма РРЦ]],'WV 4.0'!$A:$N,ROW('WV 4.0'!471:471),0),"")</f>
        <v/>
      </c>
    </row>
    <row r="483" spans="1:14" x14ac:dyDescent="0.25">
      <c r="A483" s="29">
        <f>IFERROR('WV 4.0'!A472, " ")</f>
        <v>0</v>
      </c>
      <c r="B483" s="29">
        <f>IFERROR('WV 4.0'!B472, " ")</f>
        <v>0</v>
      </c>
      <c r="C483" s="29">
        <f>IFERROR('WV 4.0'!C472, " ")</f>
        <v>0</v>
      </c>
      <c r="D483" s="29">
        <f>IFERROR('WV 4.0'!D472, " ")</f>
        <v>0</v>
      </c>
      <c r="E483" s="29">
        <f>IFERROR('WV 4.0'!E472, " ")</f>
        <v>0</v>
      </c>
      <c r="F483" s="27">
        <f>IFERROR(ROUND(HLOOKUP(Таблица5[[#Headers],[Цена КП]],'WV 4.0'!$A:$N,ROW('WV 4.0'!472:472),0),0),"")</f>
        <v>0</v>
      </c>
      <c r="G483" s="27">
        <f>IFERROR(Таблица5[[#This Row],[Цена КП]]*Таблица5[[#This Row],[Кол-во]],"")</f>
        <v>0</v>
      </c>
      <c r="H483" s="42">
        <f>IFERROR(HLOOKUP(Таблица5[[#Headers],[Комментарии]],'WV 4.0'!$A:$N,ROW('WV 4.0'!472:472),0),"")</f>
        <v>0</v>
      </c>
      <c r="I483" s="42">
        <f>IFERROR(HLOOKUP(Таблица5[[#Headers],[Срок поставки]],'WV 4.0'!$A:$N,ROW('WV 4.0'!472:472),0),"")</f>
        <v>0</v>
      </c>
      <c r="J483" s="27" t="str">
        <f>IFERROR(HLOOKUP(Таблица5[[#Headers],[Цена КазНИИСА]],'WV 4.0'!$A:$N,ROW('WV 4.0'!472:472),0),"")</f>
        <v/>
      </c>
      <c r="K483" s="27" t="str">
        <f>IFERROR(HLOOKUP(Таблица5[[#Headers],[Сумма КазНИИСА]],'WV 4.0'!$A:$N,ROW('WV 4.0'!472:472),0),"")</f>
        <v/>
      </c>
      <c r="L483" s="27">
        <f>IFERROR(HLOOKUP(Таблица5[[#Headers],[Код КазНИИСА]],'WV 4.0'!$A:$N,ROW('WV 4.0'!472:472),0),"")</f>
        <v>0</v>
      </c>
      <c r="M483" s="27" t="str">
        <f>IFERROR(HLOOKUP(Таблица5[[#Headers],[РРЦ в тнг]],'WV 4.0'!$A:$N,ROW('WV 4.0'!472:472),0),"")</f>
        <v/>
      </c>
      <c r="N483" s="27" t="str">
        <f>IFERROR(HLOOKUP(Таблица5[[#Headers],[Сумма РРЦ]],'WV 4.0'!$A:$N,ROW('WV 4.0'!472:472),0),"")</f>
        <v/>
      </c>
    </row>
    <row r="484" spans="1:14" x14ac:dyDescent="0.25">
      <c r="A484" s="29">
        <f>IFERROR('WV 4.0'!A473, " ")</f>
        <v>0</v>
      </c>
      <c r="B484" s="29">
        <f>IFERROR('WV 4.0'!B473, " ")</f>
        <v>0</v>
      </c>
      <c r="C484" s="29">
        <f>IFERROR('WV 4.0'!C473, " ")</f>
        <v>0</v>
      </c>
      <c r="D484" s="29">
        <f>IFERROR('WV 4.0'!D473, " ")</f>
        <v>0</v>
      </c>
      <c r="E484" s="29">
        <f>IFERROR('WV 4.0'!E473, " ")</f>
        <v>0</v>
      </c>
      <c r="F484" s="27">
        <f>IFERROR(ROUND(HLOOKUP(Таблица5[[#Headers],[Цена КП]],'WV 4.0'!$A:$N,ROW('WV 4.0'!473:473),0),0),"")</f>
        <v>0</v>
      </c>
      <c r="G484" s="27">
        <f>IFERROR(Таблица5[[#This Row],[Цена КП]]*Таблица5[[#This Row],[Кол-во]],"")</f>
        <v>0</v>
      </c>
      <c r="H484" s="42">
        <f>IFERROR(HLOOKUP(Таблица5[[#Headers],[Комментарии]],'WV 4.0'!$A:$N,ROW('WV 4.0'!473:473),0),"")</f>
        <v>0</v>
      </c>
      <c r="I484" s="42">
        <f>IFERROR(HLOOKUP(Таблица5[[#Headers],[Срок поставки]],'WV 4.0'!$A:$N,ROW('WV 4.0'!473:473),0),"")</f>
        <v>0</v>
      </c>
      <c r="J484" s="27" t="str">
        <f>IFERROR(HLOOKUP(Таблица5[[#Headers],[Цена КазНИИСА]],'WV 4.0'!$A:$N,ROW('WV 4.0'!473:473),0),"")</f>
        <v/>
      </c>
      <c r="K484" s="27" t="str">
        <f>IFERROR(HLOOKUP(Таблица5[[#Headers],[Сумма КазНИИСА]],'WV 4.0'!$A:$N,ROW('WV 4.0'!473:473),0),"")</f>
        <v/>
      </c>
      <c r="L484" s="27">
        <f>IFERROR(HLOOKUP(Таблица5[[#Headers],[Код КазНИИСА]],'WV 4.0'!$A:$N,ROW('WV 4.0'!473:473),0),"")</f>
        <v>0</v>
      </c>
      <c r="M484" s="27" t="str">
        <f>IFERROR(HLOOKUP(Таблица5[[#Headers],[РРЦ в тнг]],'WV 4.0'!$A:$N,ROW('WV 4.0'!473:473),0),"")</f>
        <v/>
      </c>
      <c r="N484" s="27" t="str">
        <f>IFERROR(HLOOKUP(Таблица5[[#Headers],[Сумма РРЦ]],'WV 4.0'!$A:$N,ROW('WV 4.0'!473:473),0),"")</f>
        <v/>
      </c>
    </row>
    <row r="485" spans="1:14" x14ac:dyDescent="0.25">
      <c r="A485" s="29">
        <f>IFERROR('WV 4.0'!A474, " ")</f>
        <v>0</v>
      </c>
      <c r="B485" s="29">
        <f>IFERROR('WV 4.0'!B474, " ")</f>
        <v>0</v>
      </c>
      <c r="C485" s="29">
        <f>IFERROR('WV 4.0'!C474, " ")</f>
        <v>0</v>
      </c>
      <c r="D485" s="29">
        <f>IFERROR('WV 4.0'!D474, " ")</f>
        <v>0</v>
      </c>
      <c r="E485" s="29">
        <f>IFERROR('WV 4.0'!E474, " ")</f>
        <v>0</v>
      </c>
      <c r="F485" s="27">
        <f>IFERROR(ROUND(HLOOKUP(Таблица5[[#Headers],[Цена КП]],'WV 4.0'!$A:$N,ROW('WV 4.0'!474:474),0),0),"")</f>
        <v>0</v>
      </c>
      <c r="G485" s="27">
        <f>IFERROR(Таблица5[[#This Row],[Цена КП]]*Таблица5[[#This Row],[Кол-во]],"")</f>
        <v>0</v>
      </c>
      <c r="H485" s="42">
        <f>IFERROR(HLOOKUP(Таблица5[[#Headers],[Комментарии]],'WV 4.0'!$A:$N,ROW('WV 4.0'!474:474),0),"")</f>
        <v>0</v>
      </c>
      <c r="I485" s="42">
        <f>IFERROR(HLOOKUP(Таблица5[[#Headers],[Срок поставки]],'WV 4.0'!$A:$N,ROW('WV 4.0'!474:474),0),"")</f>
        <v>0</v>
      </c>
      <c r="J485" s="27" t="str">
        <f>IFERROR(HLOOKUP(Таблица5[[#Headers],[Цена КазНИИСА]],'WV 4.0'!$A:$N,ROW('WV 4.0'!474:474),0),"")</f>
        <v/>
      </c>
      <c r="K485" s="27" t="str">
        <f>IFERROR(HLOOKUP(Таблица5[[#Headers],[Сумма КазНИИСА]],'WV 4.0'!$A:$N,ROW('WV 4.0'!474:474),0),"")</f>
        <v/>
      </c>
      <c r="L485" s="27">
        <f>IFERROR(HLOOKUP(Таблица5[[#Headers],[Код КазНИИСА]],'WV 4.0'!$A:$N,ROW('WV 4.0'!474:474),0),"")</f>
        <v>0</v>
      </c>
      <c r="M485" s="27" t="str">
        <f>IFERROR(HLOOKUP(Таблица5[[#Headers],[РРЦ в тнг]],'WV 4.0'!$A:$N,ROW('WV 4.0'!474:474),0),"")</f>
        <v/>
      </c>
      <c r="N485" s="27" t="str">
        <f>IFERROR(HLOOKUP(Таблица5[[#Headers],[Сумма РРЦ]],'WV 4.0'!$A:$N,ROW('WV 4.0'!474:474),0),"")</f>
        <v/>
      </c>
    </row>
    <row r="486" spans="1:14" x14ac:dyDescent="0.25">
      <c r="A486" s="29">
        <f>IFERROR('WV 4.0'!A475, " ")</f>
        <v>0</v>
      </c>
      <c r="B486" s="29">
        <f>IFERROR('WV 4.0'!B475, " ")</f>
        <v>0</v>
      </c>
      <c r="C486" s="29">
        <f>IFERROR('WV 4.0'!C475, " ")</f>
        <v>0</v>
      </c>
      <c r="D486" s="29">
        <f>IFERROR('WV 4.0'!D475, " ")</f>
        <v>0</v>
      </c>
      <c r="E486" s="29">
        <f>IFERROR('WV 4.0'!E475, " ")</f>
        <v>0</v>
      </c>
      <c r="F486" s="27">
        <f>IFERROR(ROUND(HLOOKUP(Таблица5[[#Headers],[Цена КП]],'WV 4.0'!$A:$N,ROW('WV 4.0'!475:475),0),0),"")</f>
        <v>0</v>
      </c>
      <c r="G486" s="27">
        <f>IFERROR(Таблица5[[#This Row],[Цена КП]]*Таблица5[[#This Row],[Кол-во]],"")</f>
        <v>0</v>
      </c>
      <c r="H486" s="42">
        <f>IFERROR(HLOOKUP(Таблица5[[#Headers],[Комментарии]],'WV 4.0'!$A:$N,ROW('WV 4.0'!475:475),0),"")</f>
        <v>0</v>
      </c>
      <c r="I486" s="42">
        <f>IFERROR(HLOOKUP(Таблица5[[#Headers],[Срок поставки]],'WV 4.0'!$A:$N,ROW('WV 4.0'!475:475),0),"")</f>
        <v>0</v>
      </c>
      <c r="J486" s="27" t="str">
        <f>IFERROR(HLOOKUP(Таблица5[[#Headers],[Цена КазНИИСА]],'WV 4.0'!$A:$N,ROW('WV 4.0'!475:475),0),"")</f>
        <v/>
      </c>
      <c r="K486" s="27" t="str">
        <f>IFERROR(HLOOKUP(Таблица5[[#Headers],[Сумма КазНИИСА]],'WV 4.0'!$A:$N,ROW('WV 4.0'!475:475),0),"")</f>
        <v/>
      </c>
      <c r="L486" s="27">
        <f>IFERROR(HLOOKUP(Таблица5[[#Headers],[Код КазНИИСА]],'WV 4.0'!$A:$N,ROW('WV 4.0'!475:475),0),"")</f>
        <v>0</v>
      </c>
      <c r="M486" s="27" t="str">
        <f>IFERROR(HLOOKUP(Таблица5[[#Headers],[РРЦ в тнг]],'WV 4.0'!$A:$N,ROW('WV 4.0'!475:475),0),"")</f>
        <v/>
      </c>
      <c r="N486" s="27" t="str">
        <f>IFERROR(HLOOKUP(Таблица5[[#Headers],[Сумма РРЦ]],'WV 4.0'!$A:$N,ROW('WV 4.0'!475:475),0),"")</f>
        <v/>
      </c>
    </row>
    <row r="487" spans="1:14" x14ac:dyDescent="0.25">
      <c r="A487" s="29">
        <f>IFERROR('WV 4.0'!A476, " ")</f>
        <v>0</v>
      </c>
      <c r="B487" s="29">
        <f>IFERROR('WV 4.0'!B476, " ")</f>
        <v>0</v>
      </c>
      <c r="C487" s="29">
        <f>IFERROR('WV 4.0'!C476, " ")</f>
        <v>0</v>
      </c>
      <c r="D487" s="29">
        <f>IFERROR('WV 4.0'!D476, " ")</f>
        <v>0</v>
      </c>
      <c r="E487" s="29">
        <f>IFERROR('WV 4.0'!E476, " ")</f>
        <v>0</v>
      </c>
      <c r="F487" s="27">
        <f>IFERROR(ROUND(HLOOKUP(Таблица5[[#Headers],[Цена КП]],'WV 4.0'!$A:$N,ROW('WV 4.0'!476:476),0),0),"")</f>
        <v>0</v>
      </c>
      <c r="G487" s="27">
        <f>IFERROR(Таблица5[[#This Row],[Цена КП]]*Таблица5[[#This Row],[Кол-во]],"")</f>
        <v>0</v>
      </c>
      <c r="H487" s="42">
        <f>IFERROR(HLOOKUP(Таблица5[[#Headers],[Комментарии]],'WV 4.0'!$A:$N,ROW('WV 4.0'!476:476),0),"")</f>
        <v>0</v>
      </c>
      <c r="I487" s="42">
        <f>IFERROR(HLOOKUP(Таблица5[[#Headers],[Срок поставки]],'WV 4.0'!$A:$N,ROW('WV 4.0'!476:476),0),"")</f>
        <v>0</v>
      </c>
      <c r="J487" s="27" t="str">
        <f>IFERROR(HLOOKUP(Таблица5[[#Headers],[Цена КазНИИСА]],'WV 4.0'!$A:$N,ROW('WV 4.0'!476:476),0),"")</f>
        <v/>
      </c>
      <c r="K487" s="27" t="str">
        <f>IFERROR(HLOOKUP(Таблица5[[#Headers],[Сумма КазНИИСА]],'WV 4.0'!$A:$N,ROW('WV 4.0'!476:476),0),"")</f>
        <v/>
      </c>
      <c r="L487" s="27">
        <f>IFERROR(HLOOKUP(Таблица5[[#Headers],[Код КазНИИСА]],'WV 4.0'!$A:$N,ROW('WV 4.0'!476:476),0),"")</f>
        <v>0</v>
      </c>
      <c r="M487" s="27" t="str">
        <f>IFERROR(HLOOKUP(Таблица5[[#Headers],[РРЦ в тнг]],'WV 4.0'!$A:$N,ROW('WV 4.0'!476:476),0),"")</f>
        <v/>
      </c>
      <c r="N487" s="27" t="str">
        <f>IFERROR(HLOOKUP(Таблица5[[#Headers],[Сумма РРЦ]],'WV 4.0'!$A:$N,ROW('WV 4.0'!476:476),0),"")</f>
        <v/>
      </c>
    </row>
    <row r="488" spans="1:14" x14ac:dyDescent="0.25">
      <c r="A488" s="29">
        <f>IFERROR('WV 4.0'!A477, " ")</f>
        <v>0</v>
      </c>
      <c r="B488" s="29">
        <f>IFERROR('WV 4.0'!B477, " ")</f>
        <v>0</v>
      </c>
      <c r="C488" s="29">
        <f>IFERROR('WV 4.0'!C477, " ")</f>
        <v>0</v>
      </c>
      <c r="D488" s="29">
        <f>IFERROR('WV 4.0'!D477, " ")</f>
        <v>0</v>
      </c>
      <c r="E488" s="29">
        <f>IFERROR('WV 4.0'!E477, " ")</f>
        <v>0</v>
      </c>
      <c r="F488" s="27">
        <f>IFERROR(ROUND(HLOOKUP(Таблица5[[#Headers],[Цена КП]],'WV 4.0'!$A:$N,ROW('WV 4.0'!477:477),0),0),"")</f>
        <v>0</v>
      </c>
      <c r="G488" s="27">
        <f>IFERROR(Таблица5[[#This Row],[Цена КП]]*Таблица5[[#This Row],[Кол-во]],"")</f>
        <v>0</v>
      </c>
      <c r="H488" s="42">
        <f>IFERROR(HLOOKUP(Таблица5[[#Headers],[Комментарии]],'WV 4.0'!$A:$N,ROW('WV 4.0'!477:477),0),"")</f>
        <v>0</v>
      </c>
      <c r="I488" s="42">
        <f>IFERROR(HLOOKUP(Таблица5[[#Headers],[Срок поставки]],'WV 4.0'!$A:$N,ROW('WV 4.0'!477:477),0),"")</f>
        <v>0</v>
      </c>
      <c r="J488" s="27" t="str">
        <f>IFERROR(HLOOKUP(Таблица5[[#Headers],[Цена КазНИИСА]],'WV 4.0'!$A:$N,ROW('WV 4.0'!477:477),0),"")</f>
        <v/>
      </c>
      <c r="K488" s="27" t="str">
        <f>IFERROR(HLOOKUP(Таблица5[[#Headers],[Сумма КазНИИСА]],'WV 4.0'!$A:$N,ROW('WV 4.0'!477:477),0),"")</f>
        <v/>
      </c>
      <c r="L488" s="27">
        <f>IFERROR(HLOOKUP(Таблица5[[#Headers],[Код КазНИИСА]],'WV 4.0'!$A:$N,ROW('WV 4.0'!477:477),0),"")</f>
        <v>0</v>
      </c>
      <c r="M488" s="27" t="str">
        <f>IFERROR(HLOOKUP(Таблица5[[#Headers],[РРЦ в тнг]],'WV 4.0'!$A:$N,ROW('WV 4.0'!477:477),0),"")</f>
        <v/>
      </c>
      <c r="N488" s="27" t="str">
        <f>IFERROR(HLOOKUP(Таблица5[[#Headers],[Сумма РРЦ]],'WV 4.0'!$A:$N,ROW('WV 4.0'!477:477),0),"")</f>
        <v/>
      </c>
    </row>
    <row r="489" spans="1:14" x14ac:dyDescent="0.25">
      <c r="A489" s="29">
        <f>IFERROR('WV 4.0'!A478, " ")</f>
        <v>0</v>
      </c>
      <c r="B489" s="29">
        <f>IFERROR('WV 4.0'!B478, " ")</f>
        <v>0</v>
      </c>
      <c r="C489" s="29">
        <f>IFERROR('WV 4.0'!C478, " ")</f>
        <v>0</v>
      </c>
      <c r="D489" s="29">
        <f>IFERROR('WV 4.0'!D478, " ")</f>
        <v>0</v>
      </c>
      <c r="E489" s="29">
        <f>IFERROR('WV 4.0'!E478, " ")</f>
        <v>0</v>
      </c>
      <c r="F489" s="27">
        <f>IFERROR(ROUND(HLOOKUP(Таблица5[[#Headers],[Цена КП]],'WV 4.0'!$A:$N,ROW('WV 4.0'!478:478),0),0),"")</f>
        <v>0</v>
      </c>
      <c r="G489" s="27">
        <f>IFERROR(Таблица5[[#This Row],[Цена КП]]*Таблица5[[#This Row],[Кол-во]],"")</f>
        <v>0</v>
      </c>
      <c r="H489" s="42">
        <f>IFERROR(HLOOKUP(Таблица5[[#Headers],[Комментарии]],'WV 4.0'!$A:$N,ROW('WV 4.0'!478:478),0),"")</f>
        <v>0</v>
      </c>
      <c r="I489" s="42">
        <f>IFERROR(HLOOKUP(Таблица5[[#Headers],[Срок поставки]],'WV 4.0'!$A:$N,ROW('WV 4.0'!478:478),0),"")</f>
        <v>0</v>
      </c>
      <c r="J489" s="27" t="str">
        <f>IFERROR(HLOOKUP(Таблица5[[#Headers],[Цена КазНИИСА]],'WV 4.0'!$A:$N,ROW('WV 4.0'!478:478),0),"")</f>
        <v/>
      </c>
      <c r="K489" s="27" t="str">
        <f>IFERROR(HLOOKUP(Таблица5[[#Headers],[Сумма КазНИИСА]],'WV 4.0'!$A:$N,ROW('WV 4.0'!478:478),0),"")</f>
        <v/>
      </c>
      <c r="L489" s="27">
        <f>IFERROR(HLOOKUP(Таблица5[[#Headers],[Код КазНИИСА]],'WV 4.0'!$A:$N,ROW('WV 4.0'!478:478),0),"")</f>
        <v>0</v>
      </c>
      <c r="M489" s="27" t="str">
        <f>IFERROR(HLOOKUP(Таблица5[[#Headers],[РРЦ в тнг]],'WV 4.0'!$A:$N,ROW('WV 4.0'!478:478),0),"")</f>
        <v/>
      </c>
      <c r="N489" s="27" t="str">
        <f>IFERROR(HLOOKUP(Таблица5[[#Headers],[Сумма РРЦ]],'WV 4.0'!$A:$N,ROW('WV 4.0'!478:478),0),"")</f>
        <v/>
      </c>
    </row>
    <row r="490" spans="1:14" x14ac:dyDescent="0.25">
      <c r="A490" s="29">
        <f>IFERROR('WV 4.0'!A479, " ")</f>
        <v>0</v>
      </c>
      <c r="B490" s="29">
        <f>IFERROR('WV 4.0'!B479, " ")</f>
        <v>0</v>
      </c>
      <c r="C490" s="29">
        <f>IFERROR('WV 4.0'!C479, " ")</f>
        <v>0</v>
      </c>
      <c r="D490" s="29">
        <f>IFERROR('WV 4.0'!D479, " ")</f>
        <v>0</v>
      </c>
      <c r="E490" s="29">
        <f>IFERROR('WV 4.0'!E479, " ")</f>
        <v>0</v>
      </c>
      <c r="F490" s="27">
        <f>IFERROR(ROUND(HLOOKUP(Таблица5[[#Headers],[Цена КП]],'WV 4.0'!$A:$N,ROW('WV 4.0'!479:479),0),0),"")</f>
        <v>0</v>
      </c>
      <c r="G490" s="27">
        <f>IFERROR(Таблица5[[#This Row],[Цена КП]]*Таблица5[[#This Row],[Кол-во]],"")</f>
        <v>0</v>
      </c>
      <c r="H490" s="42">
        <f>IFERROR(HLOOKUP(Таблица5[[#Headers],[Комментарии]],'WV 4.0'!$A:$N,ROW('WV 4.0'!479:479),0),"")</f>
        <v>0</v>
      </c>
      <c r="I490" s="42">
        <f>IFERROR(HLOOKUP(Таблица5[[#Headers],[Срок поставки]],'WV 4.0'!$A:$N,ROW('WV 4.0'!479:479),0),"")</f>
        <v>0</v>
      </c>
      <c r="J490" s="27" t="str">
        <f>IFERROR(HLOOKUP(Таблица5[[#Headers],[Цена КазНИИСА]],'WV 4.0'!$A:$N,ROW('WV 4.0'!479:479),0),"")</f>
        <v/>
      </c>
      <c r="K490" s="27" t="str">
        <f>IFERROR(HLOOKUP(Таблица5[[#Headers],[Сумма КазНИИСА]],'WV 4.0'!$A:$N,ROW('WV 4.0'!479:479),0),"")</f>
        <v/>
      </c>
      <c r="L490" s="27">
        <f>IFERROR(HLOOKUP(Таблица5[[#Headers],[Код КазНИИСА]],'WV 4.0'!$A:$N,ROW('WV 4.0'!479:479),0),"")</f>
        <v>0</v>
      </c>
      <c r="M490" s="27" t="str">
        <f>IFERROR(HLOOKUP(Таблица5[[#Headers],[РРЦ в тнг]],'WV 4.0'!$A:$N,ROW('WV 4.0'!479:479),0),"")</f>
        <v/>
      </c>
      <c r="N490" s="27" t="str">
        <f>IFERROR(HLOOKUP(Таблица5[[#Headers],[Сумма РРЦ]],'WV 4.0'!$A:$N,ROW('WV 4.0'!479:479),0),"")</f>
        <v/>
      </c>
    </row>
    <row r="491" spans="1:14" x14ac:dyDescent="0.25">
      <c r="A491" s="29">
        <f>IFERROR('WV 4.0'!A480, " ")</f>
        <v>0</v>
      </c>
      <c r="B491" s="29">
        <f>IFERROR('WV 4.0'!B480, " ")</f>
        <v>0</v>
      </c>
      <c r="C491" s="29">
        <f>IFERROR('WV 4.0'!C480, " ")</f>
        <v>0</v>
      </c>
      <c r="D491" s="29">
        <f>IFERROR('WV 4.0'!D480, " ")</f>
        <v>0</v>
      </c>
      <c r="E491" s="29">
        <f>IFERROR('WV 4.0'!E480, " ")</f>
        <v>0</v>
      </c>
      <c r="F491" s="27">
        <f>IFERROR(ROUND(HLOOKUP(Таблица5[[#Headers],[Цена КП]],'WV 4.0'!$A:$N,ROW('WV 4.0'!480:480),0),0),"")</f>
        <v>0</v>
      </c>
      <c r="G491" s="27">
        <f>IFERROR(Таблица5[[#This Row],[Цена КП]]*Таблица5[[#This Row],[Кол-во]],"")</f>
        <v>0</v>
      </c>
      <c r="H491" s="42">
        <f>IFERROR(HLOOKUP(Таблица5[[#Headers],[Комментарии]],'WV 4.0'!$A:$N,ROW('WV 4.0'!480:480),0),"")</f>
        <v>0</v>
      </c>
      <c r="I491" s="42">
        <f>IFERROR(HLOOKUP(Таблица5[[#Headers],[Срок поставки]],'WV 4.0'!$A:$N,ROW('WV 4.0'!480:480),0),"")</f>
        <v>0</v>
      </c>
      <c r="J491" s="27" t="str">
        <f>IFERROR(HLOOKUP(Таблица5[[#Headers],[Цена КазНИИСА]],'WV 4.0'!$A:$N,ROW('WV 4.0'!480:480),0),"")</f>
        <v/>
      </c>
      <c r="K491" s="27" t="str">
        <f>IFERROR(HLOOKUP(Таблица5[[#Headers],[Сумма КазНИИСА]],'WV 4.0'!$A:$N,ROW('WV 4.0'!480:480),0),"")</f>
        <v/>
      </c>
      <c r="L491" s="27">
        <f>IFERROR(HLOOKUP(Таблица5[[#Headers],[Код КазНИИСА]],'WV 4.0'!$A:$N,ROW('WV 4.0'!480:480),0),"")</f>
        <v>0</v>
      </c>
      <c r="M491" s="27" t="str">
        <f>IFERROR(HLOOKUP(Таблица5[[#Headers],[РРЦ в тнг]],'WV 4.0'!$A:$N,ROW('WV 4.0'!480:480),0),"")</f>
        <v/>
      </c>
      <c r="N491" s="27" t="str">
        <f>IFERROR(HLOOKUP(Таблица5[[#Headers],[Сумма РРЦ]],'WV 4.0'!$A:$N,ROW('WV 4.0'!480:480),0),"")</f>
        <v/>
      </c>
    </row>
    <row r="492" spans="1:14" x14ac:dyDescent="0.25">
      <c r="A492" s="29">
        <f>IFERROR('WV 4.0'!A481, " ")</f>
        <v>0</v>
      </c>
      <c r="B492" s="29">
        <f>IFERROR('WV 4.0'!B481, " ")</f>
        <v>0</v>
      </c>
      <c r="C492" s="29">
        <f>IFERROR('WV 4.0'!C481, " ")</f>
        <v>0</v>
      </c>
      <c r="D492" s="29">
        <f>IFERROR('WV 4.0'!D481, " ")</f>
        <v>0</v>
      </c>
      <c r="E492" s="29">
        <f>IFERROR('WV 4.0'!E481, " ")</f>
        <v>0</v>
      </c>
      <c r="F492" s="27">
        <f>IFERROR(ROUND(HLOOKUP(Таблица5[[#Headers],[Цена КП]],'WV 4.0'!$A:$N,ROW('WV 4.0'!481:481),0),0),"")</f>
        <v>0</v>
      </c>
      <c r="G492" s="27">
        <f>IFERROR(Таблица5[[#This Row],[Цена КП]]*Таблица5[[#This Row],[Кол-во]],"")</f>
        <v>0</v>
      </c>
      <c r="H492" s="42">
        <f>IFERROR(HLOOKUP(Таблица5[[#Headers],[Комментарии]],'WV 4.0'!$A:$N,ROW('WV 4.0'!481:481),0),"")</f>
        <v>0</v>
      </c>
      <c r="I492" s="42">
        <f>IFERROR(HLOOKUP(Таблица5[[#Headers],[Срок поставки]],'WV 4.0'!$A:$N,ROW('WV 4.0'!481:481),0),"")</f>
        <v>0</v>
      </c>
      <c r="J492" s="27" t="str">
        <f>IFERROR(HLOOKUP(Таблица5[[#Headers],[Цена КазНИИСА]],'WV 4.0'!$A:$N,ROW('WV 4.0'!481:481),0),"")</f>
        <v/>
      </c>
      <c r="K492" s="27" t="str">
        <f>IFERROR(HLOOKUP(Таблица5[[#Headers],[Сумма КазНИИСА]],'WV 4.0'!$A:$N,ROW('WV 4.0'!481:481),0),"")</f>
        <v/>
      </c>
      <c r="L492" s="27">
        <f>IFERROR(HLOOKUP(Таблица5[[#Headers],[Код КазНИИСА]],'WV 4.0'!$A:$N,ROW('WV 4.0'!481:481),0),"")</f>
        <v>0</v>
      </c>
      <c r="M492" s="27" t="str">
        <f>IFERROR(HLOOKUP(Таблица5[[#Headers],[РРЦ в тнг]],'WV 4.0'!$A:$N,ROW('WV 4.0'!481:481),0),"")</f>
        <v/>
      </c>
      <c r="N492" s="27" t="str">
        <f>IFERROR(HLOOKUP(Таблица5[[#Headers],[Сумма РРЦ]],'WV 4.0'!$A:$N,ROW('WV 4.0'!481:481),0),"")</f>
        <v/>
      </c>
    </row>
    <row r="493" spans="1:14" x14ac:dyDescent="0.25">
      <c r="A493" s="29">
        <f>IFERROR('WV 4.0'!A482, " ")</f>
        <v>0</v>
      </c>
      <c r="B493" s="29">
        <f>IFERROR('WV 4.0'!B482, " ")</f>
        <v>0</v>
      </c>
      <c r="C493" s="29">
        <f>IFERROR('WV 4.0'!C482, " ")</f>
        <v>0</v>
      </c>
      <c r="D493" s="29">
        <f>IFERROR('WV 4.0'!D482, " ")</f>
        <v>0</v>
      </c>
      <c r="E493" s="29">
        <f>IFERROR('WV 4.0'!E482, " ")</f>
        <v>0</v>
      </c>
      <c r="F493" s="27">
        <f>IFERROR(ROUND(HLOOKUP(Таблица5[[#Headers],[Цена КП]],'WV 4.0'!$A:$N,ROW('WV 4.0'!482:482),0),0),"")</f>
        <v>0</v>
      </c>
      <c r="G493" s="27">
        <f>IFERROR(Таблица5[[#This Row],[Цена КП]]*Таблица5[[#This Row],[Кол-во]],"")</f>
        <v>0</v>
      </c>
      <c r="H493" s="42">
        <f>IFERROR(HLOOKUP(Таблица5[[#Headers],[Комментарии]],'WV 4.0'!$A:$N,ROW('WV 4.0'!482:482),0),"")</f>
        <v>0</v>
      </c>
      <c r="I493" s="42">
        <f>IFERROR(HLOOKUP(Таблица5[[#Headers],[Срок поставки]],'WV 4.0'!$A:$N,ROW('WV 4.0'!482:482),0),"")</f>
        <v>0</v>
      </c>
      <c r="J493" s="27" t="str">
        <f>IFERROR(HLOOKUP(Таблица5[[#Headers],[Цена КазНИИСА]],'WV 4.0'!$A:$N,ROW('WV 4.0'!482:482),0),"")</f>
        <v/>
      </c>
      <c r="K493" s="27" t="str">
        <f>IFERROR(HLOOKUP(Таблица5[[#Headers],[Сумма КазНИИСА]],'WV 4.0'!$A:$N,ROW('WV 4.0'!482:482),0),"")</f>
        <v/>
      </c>
      <c r="L493" s="27">
        <f>IFERROR(HLOOKUP(Таблица5[[#Headers],[Код КазНИИСА]],'WV 4.0'!$A:$N,ROW('WV 4.0'!482:482),0),"")</f>
        <v>0</v>
      </c>
      <c r="M493" s="27" t="str">
        <f>IFERROR(HLOOKUP(Таблица5[[#Headers],[РРЦ в тнг]],'WV 4.0'!$A:$N,ROW('WV 4.0'!482:482),0),"")</f>
        <v/>
      </c>
      <c r="N493" s="27" t="str">
        <f>IFERROR(HLOOKUP(Таблица5[[#Headers],[Сумма РРЦ]],'WV 4.0'!$A:$N,ROW('WV 4.0'!482:482),0),"")</f>
        <v/>
      </c>
    </row>
    <row r="494" spans="1:14" x14ac:dyDescent="0.25">
      <c r="A494" s="29">
        <f>IFERROR('WV 4.0'!A483, " ")</f>
        <v>0</v>
      </c>
      <c r="B494" s="29">
        <f>IFERROR('WV 4.0'!B483, " ")</f>
        <v>0</v>
      </c>
      <c r="C494" s="29">
        <f>IFERROR('WV 4.0'!C483, " ")</f>
        <v>0</v>
      </c>
      <c r="D494" s="29">
        <f>IFERROR('WV 4.0'!D483, " ")</f>
        <v>0</v>
      </c>
      <c r="E494" s="29">
        <f>IFERROR('WV 4.0'!E483, " ")</f>
        <v>0</v>
      </c>
      <c r="F494" s="27">
        <f>IFERROR(ROUND(HLOOKUP(Таблица5[[#Headers],[Цена КП]],'WV 4.0'!$A:$N,ROW('WV 4.0'!483:483),0),0),"")</f>
        <v>0</v>
      </c>
      <c r="G494" s="27">
        <f>IFERROR(Таблица5[[#This Row],[Цена КП]]*Таблица5[[#This Row],[Кол-во]],"")</f>
        <v>0</v>
      </c>
      <c r="H494" s="42">
        <f>IFERROR(HLOOKUP(Таблица5[[#Headers],[Комментарии]],'WV 4.0'!$A:$N,ROW('WV 4.0'!483:483),0),"")</f>
        <v>0</v>
      </c>
      <c r="I494" s="42">
        <f>IFERROR(HLOOKUP(Таблица5[[#Headers],[Срок поставки]],'WV 4.0'!$A:$N,ROW('WV 4.0'!483:483),0),"")</f>
        <v>0</v>
      </c>
      <c r="J494" s="27" t="str">
        <f>IFERROR(HLOOKUP(Таблица5[[#Headers],[Цена КазНИИСА]],'WV 4.0'!$A:$N,ROW('WV 4.0'!483:483),0),"")</f>
        <v/>
      </c>
      <c r="K494" s="27" t="str">
        <f>IFERROR(HLOOKUP(Таблица5[[#Headers],[Сумма КазНИИСА]],'WV 4.0'!$A:$N,ROW('WV 4.0'!483:483),0),"")</f>
        <v/>
      </c>
      <c r="L494" s="27">
        <f>IFERROR(HLOOKUP(Таблица5[[#Headers],[Код КазНИИСА]],'WV 4.0'!$A:$N,ROW('WV 4.0'!483:483),0),"")</f>
        <v>0</v>
      </c>
      <c r="M494" s="27" t="str">
        <f>IFERROR(HLOOKUP(Таблица5[[#Headers],[РРЦ в тнг]],'WV 4.0'!$A:$N,ROW('WV 4.0'!483:483),0),"")</f>
        <v/>
      </c>
      <c r="N494" s="27" t="str">
        <f>IFERROR(HLOOKUP(Таблица5[[#Headers],[Сумма РРЦ]],'WV 4.0'!$A:$N,ROW('WV 4.0'!483:483),0),"")</f>
        <v/>
      </c>
    </row>
    <row r="495" spans="1:14" x14ac:dyDescent="0.25">
      <c r="A495" s="29">
        <f>IFERROR('WV 4.0'!A484, " ")</f>
        <v>0</v>
      </c>
      <c r="B495" s="29">
        <f>IFERROR('WV 4.0'!B484, " ")</f>
        <v>0</v>
      </c>
      <c r="C495" s="29">
        <f>IFERROR('WV 4.0'!C484, " ")</f>
        <v>0</v>
      </c>
      <c r="D495" s="29">
        <f>IFERROR('WV 4.0'!D484, " ")</f>
        <v>0</v>
      </c>
      <c r="E495" s="29">
        <f>IFERROR('WV 4.0'!E484, " ")</f>
        <v>0</v>
      </c>
      <c r="F495" s="27">
        <f>IFERROR(ROUND(HLOOKUP(Таблица5[[#Headers],[Цена КП]],'WV 4.0'!$A:$N,ROW('WV 4.0'!484:484),0),0),"")</f>
        <v>0</v>
      </c>
      <c r="G495" s="27">
        <f>IFERROR(Таблица5[[#This Row],[Цена КП]]*Таблица5[[#This Row],[Кол-во]],"")</f>
        <v>0</v>
      </c>
      <c r="H495" s="42">
        <f>IFERROR(HLOOKUP(Таблица5[[#Headers],[Комментарии]],'WV 4.0'!$A:$N,ROW('WV 4.0'!484:484),0),"")</f>
        <v>0</v>
      </c>
      <c r="I495" s="42">
        <f>IFERROR(HLOOKUP(Таблица5[[#Headers],[Срок поставки]],'WV 4.0'!$A:$N,ROW('WV 4.0'!484:484),0),"")</f>
        <v>0</v>
      </c>
      <c r="J495" s="27" t="str">
        <f>IFERROR(HLOOKUP(Таблица5[[#Headers],[Цена КазНИИСА]],'WV 4.0'!$A:$N,ROW('WV 4.0'!484:484),0),"")</f>
        <v/>
      </c>
      <c r="K495" s="27" t="str">
        <f>IFERROR(HLOOKUP(Таблица5[[#Headers],[Сумма КазНИИСА]],'WV 4.0'!$A:$N,ROW('WV 4.0'!484:484),0),"")</f>
        <v/>
      </c>
      <c r="L495" s="27">
        <f>IFERROR(HLOOKUP(Таблица5[[#Headers],[Код КазНИИСА]],'WV 4.0'!$A:$N,ROW('WV 4.0'!484:484),0),"")</f>
        <v>0</v>
      </c>
      <c r="M495" s="27" t="str">
        <f>IFERROR(HLOOKUP(Таблица5[[#Headers],[РРЦ в тнг]],'WV 4.0'!$A:$N,ROW('WV 4.0'!484:484),0),"")</f>
        <v/>
      </c>
      <c r="N495" s="27" t="str">
        <f>IFERROR(HLOOKUP(Таблица5[[#Headers],[Сумма РРЦ]],'WV 4.0'!$A:$N,ROW('WV 4.0'!484:484),0),"")</f>
        <v/>
      </c>
    </row>
    <row r="496" spans="1:14" x14ac:dyDescent="0.25">
      <c r="A496" s="29">
        <f>IFERROR('WV 4.0'!A485, " ")</f>
        <v>0</v>
      </c>
      <c r="B496" s="29">
        <f>IFERROR('WV 4.0'!B485, " ")</f>
        <v>0</v>
      </c>
      <c r="C496" s="29">
        <f>IFERROR('WV 4.0'!C485, " ")</f>
        <v>0</v>
      </c>
      <c r="D496" s="29">
        <f>IFERROR('WV 4.0'!D485, " ")</f>
        <v>0</v>
      </c>
      <c r="E496" s="29">
        <f>IFERROR('WV 4.0'!E485, " ")</f>
        <v>0</v>
      </c>
      <c r="F496" s="27">
        <f>IFERROR(ROUND(HLOOKUP(Таблица5[[#Headers],[Цена КП]],'WV 4.0'!$A:$N,ROW('WV 4.0'!485:485),0),0),"")</f>
        <v>0</v>
      </c>
      <c r="G496" s="27">
        <f>IFERROR(Таблица5[[#This Row],[Цена КП]]*Таблица5[[#This Row],[Кол-во]],"")</f>
        <v>0</v>
      </c>
      <c r="H496" s="42">
        <f>IFERROR(HLOOKUP(Таблица5[[#Headers],[Комментарии]],'WV 4.0'!$A:$N,ROW('WV 4.0'!485:485),0),"")</f>
        <v>0</v>
      </c>
      <c r="I496" s="42">
        <f>IFERROR(HLOOKUP(Таблица5[[#Headers],[Срок поставки]],'WV 4.0'!$A:$N,ROW('WV 4.0'!485:485),0),"")</f>
        <v>0</v>
      </c>
      <c r="J496" s="27" t="str">
        <f>IFERROR(HLOOKUP(Таблица5[[#Headers],[Цена КазНИИСА]],'WV 4.0'!$A:$N,ROW('WV 4.0'!485:485),0),"")</f>
        <v/>
      </c>
      <c r="K496" s="27" t="str">
        <f>IFERROR(HLOOKUP(Таблица5[[#Headers],[Сумма КазНИИСА]],'WV 4.0'!$A:$N,ROW('WV 4.0'!485:485),0),"")</f>
        <v/>
      </c>
      <c r="L496" s="27">
        <f>IFERROR(HLOOKUP(Таблица5[[#Headers],[Код КазНИИСА]],'WV 4.0'!$A:$N,ROW('WV 4.0'!485:485),0),"")</f>
        <v>0</v>
      </c>
      <c r="M496" s="27" t="str">
        <f>IFERROR(HLOOKUP(Таблица5[[#Headers],[РРЦ в тнг]],'WV 4.0'!$A:$N,ROW('WV 4.0'!485:485),0),"")</f>
        <v/>
      </c>
      <c r="N496" s="27" t="str">
        <f>IFERROR(HLOOKUP(Таблица5[[#Headers],[Сумма РРЦ]],'WV 4.0'!$A:$N,ROW('WV 4.0'!485:485),0),"")</f>
        <v/>
      </c>
    </row>
    <row r="497" spans="1:14" x14ac:dyDescent="0.25">
      <c r="A497" s="29">
        <f>IFERROR('WV 4.0'!A486, " ")</f>
        <v>0</v>
      </c>
      <c r="B497" s="29">
        <f>IFERROR('WV 4.0'!B486, " ")</f>
        <v>0</v>
      </c>
      <c r="C497" s="29">
        <f>IFERROR('WV 4.0'!C486, " ")</f>
        <v>0</v>
      </c>
      <c r="D497" s="29">
        <f>IFERROR('WV 4.0'!D486, " ")</f>
        <v>0</v>
      </c>
      <c r="E497" s="29">
        <f>IFERROR('WV 4.0'!E486, " ")</f>
        <v>0</v>
      </c>
      <c r="F497" s="27">
        <f>IFERROR(ROUND(HLOOKUP(Таблица5[[#Headers],[Цена КП]],'WV 4.0'!$A:$N,ROW('WV 4.0'!486:486),0),0),"")</f>
        <v>0</v>
      </c>
      <c r="G497" s="27">
        <f>IFERROR(Таблица5[[#This Row],[Цена КП]]*Таблица5[[#This Row],[Кол-во]],"")</f>
        <v>0</v>
      </c>
      <c r="H497" s="42">
        <f>IFERROR(HLOOKUP(Таблица5[[#Headers],[Комментарии]],'WV 4.0'!$A:$N,ROW('WV 4.0'!486:486),0),"")</f>
        <v>0</v>
      </c>
      <c r="I497" s="42">
        <f>IFERROR(HLOOKUP(Таблица5[[#Headers],[Срок поставки]],'WV 4.0'!$A:$N,ROW('WV 4.0'!486:486),0),"")</f>
        <v>0</v>
      </c>
      <c r="J497" s="27" t="str">
        <f>IFERROR(HLOOKUP(Таблица5[[#Headers],[Цена КазНИИСА]],'WV 4.0'!$A:$N,ROW('WV 4.0'!486:486),0),"")</f>
        <v/>
      </c>
      <c r="K497" s="27" t="str">
        <f>IFERROR(HLOOKUP(Таблица5[[#Headers],[Сумма КазНИИСА]],'WV 4.0'!$A:$N,ROW('WV 4.0'!486:486),0),"")</f>
        <v/>
      </c>
      <c r="L497" s="27">
        <f>IFERROR(HLOOKUP(Таблица5[[#Headers],[Код КазНИИСА]],'WV 4.0'!$A:$N,ROW('WV 4.0'!486:486),0),"")</f>
        <v>0</v>
      </c>
      <c r="M497" s="27" t="str">
        <f>IFERROR(HLOOKUP(Таблица5[[#Headers],[РРЦ в тнг]],'WV 4.0'!$A:$N,ROW('WV 4.0'!486:486),0),"")</f>
        <v/>
      </c>
      <c r="N497" s="27" t="str">
        <f>IFERROR(HLOOKUP(Таблица5[[#Headers],[Сумма РРЦ]],'WV 4.0'!$A:$N,ROW('WV 4.0'!486:486),0),"")</f>
        <v/>
      </c>
    </row>
    <row r="498" spans="1:14" x14ac:dyDescent="0.25">
      <c r="A498" s="29">
        <f>IFERROR('WV 4.0'!A487, " ")</f>
        <v>0</v>
      </c>
      <c r="B498" s="29">
        <f>IFERROR('WV 4.0'!B487, " ")</f>
        <v>0</v>
      </c>
      <c r="C498" s="29">
        <f>IFERROR('WV 4.0'!C487, " ")</f>
        <v>0</v>
      </c>
      <c r="D498" s="29">
        <f>IFERROR('WV 4.0'!D487, " ")</f>
        <v>0</v>
      </c>
      <c r="E498" s="29">
        <f>IFERROR('WV 4.0'!E487, " ")</f>
        <v>0</v>
      </c>
      <c r="F498" s="27">
        <f>IFERROR(ROUND(HLOOKUP(Таблица5[[#Headers],[Цена КП]],'WV 4.0'!$A:$N,ROW('WV 4.0'!487:487),0),0),"")</f>
        <v>0</v>
      </c>
      <c r="G498" s="27">
        <f>IFERROR(Таблица5[[#This Row],[Цена КП]]*Таблица5[[#This Row],[Кол-во]],"")</f>
        <v>0</v>
      </c>
      <c r="H498" s="42">
        <f>IFERROR(HLOOKUP(Таблица5[[#Headers],[Комментарии]],'WV 4.0'!$A:$N,ROW('WV 4.0'!487:487),0),"")</f>
        <v>0</v>
      </c>
      <c r="I498" s="42">
        <f>IFERROR(HLOOKUP(Таблица5[[#Headers],[Срок поставки]],'WV 4.0'!$A:$N,ROW('WV 4.0'!487:487),0),"")</f>
        <v>0</v>
      </c>
      <c r="J498" s="27" t="str">
        <f>IFERROR(HLOOKUP(Таблица5[[#Headers],[Цена КазНИИСА]],'WV 4.0'!$A:$N,ROW('WV 4.0'!487:487),0),"")</f>
        <v/>
      </c>
      <c r="K498" s="27" t="str">
        <f>IFERROR(HLOOKUP(Таблица5[[#Headers],[Сумма КазНИИСА]],'WV 4.0'!$A:$N,ROW('WV 4.0'!487:487),0),"")</f>
        <v/>
      </c>
      <c r="L498" s="27">
        <f>IFERROR(HLOOKUP(Таблица5[[#Headers],[Код КазНИИСА]],'WV 4.0'!$A:$N,ROW('WV 4.0'!487:487),0),"")</f>
        <v>0</v>
      </c>
      <c r="M498" s="27" t="str">
        <f>IFERROR(HLOOKUP(Таблица5[[#Headers],[РРЦ в тнг]],'WV 4.0'!$A:$N,ROW('WV 4.0'!487:487),0),"")</f>
        <v/>
      </c>
      <c r="N498" s="27" t="str">
        <f>IFERROR(HLOOKUP(Таблица5[[#Headers],[Сумма РРЦ]],'WV 4.0'!$A:$N,ROW('WV 4.0'!487:487),0),"")</f>
        <v/>
      </c>
    </row>
    <row r="499" spans="1:14" x14ac:dyDescent="0.25">
      <c r="A499" s="29">
        <f>IFERROR('WV 4.0'!A488, " ")</f>
        <v>0</v>
      </c>
      <c r="B499" s="29">
        <f>IFERROR('WV 4.0'!B488, " ")</f>
        <v>0</v>
      </c>
      <c r="C499" s="29">
        <f>IFERROR('WV 4.0'!C488, " ")</f>
        <v>0</v>
      </c>
      <c r="D499" s="29">
        <f>IFERROR('WV 4.0'!D488, " ")</f>
        <v>0</v>
      </c>
      <c r="E499" s="29">
        <f>IFERROR('WV 4.0'!E488, " ")</f>
        <v>0</v>
      </c>
      <c r="F499" s="27">
        <f>IFERROR(ROUND(HLOOKUP(Таблица5[[#Headers],[Цена КП]],'WV 4.0'!$A:$N,ROW('WV 4.0'!488:488),0),0),"")</f>
        <v>0</v>
      </c>
      <c r="G499" s="27">
        <f>IFERROR(Таблица5[[#This Row],[Цена КП]]*Таблица5[[#This Row],[Кол-во]],"")</f>
        <v>0</v>
      </c>
      <c r="H499" s="42">
        <f>IFERROR(HLOOKUP(Таблица5[[#Headers],[Комментарии]],'WV 4.0'!$A:$N,ROW('WV 4.0'!488:488),0),"")</f>
        <v>0</v>
      </c>
      <c r="I499" s="42">
        <f>IFERROR(HLOOKUP(Таблица5[[#Headers],[Срок поставки]],'WV 4.0'!$A:$N,ROW('WV 4.0'!488:488),0),"")</f>
        <v>0</v>
      </c>
      <c r="J499" s="27" t="str">
        <f>IFERROR(HLOOKUP(Таблица5[[#Headers],[Цена КазНИИСА]],'WV 4.0'!$A:$N,ROW('WV 4.0'!488:488),0),"")</f>
        <v/>
      </c>
      <c r="K499" s="27" t="str">
        <f>IFERROR(HLOOKUP(Таблица5[[#Headers],[Сумма КазНИИСА]],'WV 4.0'!$A:$N,ROW('WV 4.0'!488:488),0),"")</f>
        <v/>
      </c>
      <c r="L499" s="27">
        <f>IFERROR(HLOOKUP(Таблица5[[#Headers],[Код КазНИИСА]],'WV 4.0'!$A:$N,ROW('WV 4.0'!488:488),0),"")</f>
        <v>0</v>
      </c>
      <c r="M499" s="27" t="str">
        <f>IFERROR(HLOOKUP(Таблица5[[#Headers],[РРЦ в тнг]],'WV 4.0'!$A:$N,ROW('WV 4.0'!488:488),0),"")</f>
        <v/>
      </c>
      <c r="N499" s="27" t="str">
        <f>IFERROR(HLOOKUP(Таблица5[[#Headers],[Сумма РРЦ]],'WV 4.0'!$A:$N,ROW('WV 4.0'!488:488),0),"")</f>
        <v/>
      </c>
    </row>
    <row r="500" spans="1:14" x14ac:dyDescent="0.25">
      <c r="A500" s="29">
        <f>IFERROR('WV 4.0'!A489, " ")</f>
        <v>0</v>
      </c>
      <c r="B500" s="29">
        <f>IFERROR('WV 4.0'!B489, " ")</f>
        <v>0</v>
      </c>
      <c r="C500" s="29">
        <f>IFERROR('WV 4.0'!C489, " ")</f>
        <v>0</v>
      </c>
      <c r="D500" s="29">
        <f>IFERROR('WV 4.0'!D489, " ")</f>
        <v>0</v>
      </c>
      <c r="E500" s="29">
        <f>IFERROR('WV 4.0'!E489, " ")</f>
        <v>0</v>
      </c>
      <c r="F500" s="27">
        <f>IFERROR(ROUND(HLOOKUP(Таблица5[[#Headers],[Цена КП]],'WV 4.0'!$A:$N,ROW('WV 4.0'!489:489),0),0),"")</f>
        <v>0</v>
      </c>
      <c r="G500" s="27">
        <f>IFERROR(Таблица5[[#This Row],[Цена КП]]*Таблица5[[#This Row],[Кол-во]],"")</f>
        <v>0</v>
      </c>
      <c r="H500" s="42">
        <f>IFERROR(HLOOKUP(Таблица5[[#Headers],[Комментарии]],'WV 4.0'!$A:$N,ROW('WV 4.0'!489:489),0),"")</f>
        <v>0</v>
      </c>
      <c r="I500" s="42">
        <f>IFERROR(HLOOKUP(Таблица5[[#Headers],[Срок поставки]],'WV 4.0'!$A:$N,ROW('WV 4.0'!489:489),0),"")</f>
        <v>0</v>
      </c>
      <c r="J500" s="27" t="str">
        <f>IFERROR(HLOOKUP(Таблица5[[#Headers],[Цена КазНИИСА]],'WV 4.0'!$A:$N,ROW('WV 4.0'!489:489),0),"")</f>
        <v/>
      </c>
      <c r="K500" s="27" t="str">
        <f>IFERROR(HLOOKUP(Таблица5[[#Headers],[Сумма КазНИИСА]],'WV 4.0'!$A:$N,ROW('WV 4.0'!489:489),0),"")</f>
        <v/>
      </c>
      <c r="L500" s="27">
        <f>IFERROR(HLOOKUP(Таблица5[[#Headers],[Код КазНИИСА]],'WV 4.0'!$A:$N,ROW('WV 4.0'!489:489),0),"")</f>
        <v>0</v>
      </c>
      <c r="M500" s="27" t="str">
        <f>IFERROR(HLOOKUP(Таблица5[[#Headers],[РРЦ в тнг]],'WV 4.0'!$A:$N,ROW('WV 4.0'!489:489),0),"")</f>
        <v/>
      </c>
      <c r="N500" s="27" t="str">
        <f>IFERROR(HLOOKUP(Таблица5[[#Headers],[Сумма РРЦ]],'WV 4.0'!$A:$N,ROW('WV 4.0'!489:489),0),"")</f>
        <v/>
      </c>
    </row>
    <row r="501" spans="1:14" x14ac:dyDescent="0.25">
      <c r="F501" s="30" t="s">
        <v>31</v>
      </c>
      <c r="G501" s="30">
        <f>SUBTOTAL(9,Таблица5[Сумма КП])</f>
        <v>0</v>
      </c>
      <c r="H501" s="43"/>
      <c r="I501" s="43"/>
    </row>
    <row r="502" spans="1:14" x14ac:dyDescent="0.25">
      <c r="F502" s="31" t="s">
        <v>34</v>
      </c>
      <c r="G502" s="12">
        <f>G501*16/116</f>
        <v>0</v>
      </c>
      <c r="H502" s="44"/>
      <c r="I502" s="45"/>
    </row>
    <row r="504" spans="1:14" x14ac:dyDescent="0.25">
      <c r="A504" s="71" t="s">
        <v>25</v>
      </c>
      <c r="B504" s="71"/>
      <c r="C504" s="14" t="s">
        <v>26</v>
      </c>
      <c r="D504" s="14"/>
      <c r="E504" s="16"/>
      <c r="F504" s="21"/>
      <c r="G504" s="21"/>
      <c r="H504" s="34"/>
      <c r="I504" s="35"/>
      <c r="J504" s="19"/>
    </row>
    <row r="505" spans="1:14" x14ac:dyDescent="0.25">
      <c r="A505" s="71" t="s">
        <v>27</v>
      </c>
      <c r="B505" s="71"/>
      <c r="C505" s="14" t="s">
        <v>28</v>
      </c>
      <c r="D505" s="14"/>
      <c r="E505" s="16"/>
      <c r="F505" s="21"/>
      <c r="G505" s="21"/>
      <c r="H505" s="34"/>
      <c r="I505" s="35"/>
      <c r="J505" s="19"/>
    </row>
    <row r="506" spans="1:14" x14ac:dyDescent="0.25">
      <c r="A506" s="14"/>
      <c r="B506" s="3"/>
      <c r="C506" s="16"/>
      <c r="D506" s="16"/>
      <c r="E506" s="16"/>
      <c r="F506" s="21"/>
      <c r="G506" s="21"/>
      <c r="H506" s="34"/>
      <c r="I506" s="35"/>
      <c r="J506" s="19"/>
    </row>
    <row r="507" spans="1:14" x14ac:dyDescent="0.25">
      <c r="A507" s="70" t="s">
        <v>29</v>
      </c>
      <c r="B507" s="70"/>
      <c r="C507" s="70"/>
      <c r="D507" s="70"/>
      <c r="E507" s="70"/>
      <c r="F507" s="70"/>
      <c r="G507" s="21"/>
      <c r="H507" s="34"/>
      <c r="I507" s="35"/>
      <c r="J507" s="19"/>
      <c r="K507" s="21"/>
      <c r="L507" s="21"/>
      <c r="M507" s="21"/>
      <c r="N507" s="21"/>
    </row>
    <row r="508" spans="1:14" x14ac:dyDescent="0.25">
      <c r="A508" s="14"/>
      <c r="B508" s="3"/>
      <c r="C508" s="16"/>
      <c r="D508" s="16"/>
      <c r="E508" s="16"/>
      <c r="F508" s="21"/>
      <c r="G508" s="21"/>
      <c r="H508" s="34"/>
      <c r="I508" s="35"/>
      <c r="J508" s="19"/>
      <c r="K508" s="21"/>
      <c r="L508" s="21"/>
      <c r="M508" s="21"/>
      <c r="N508" s="21"/>
    </row>
    <row r="509" spans="1:14" x14ac:dyDescent="0.25">
      <c r="A509" s="70" t="s">
        <v>30</v>
      </c>
      <c r="B509" s="70"/>
      <c r="C509" s="14"/>
      <c r="D509" s="14"/>
      <c r="E509" s="16"/>
      <c r="F509" s="21"/>
      <c r="G509" s="21"/>
      <c r="H509" s="34"/>
      <c r="I509" s="35"/>
      <c r="J509" s="19"/>
      <c r="K509" s="21"/>
      <c r="L509" s="21"/>
      <c r="M509" s="21"/>
      <c r="N509" s="21"/>
    </row>
    <row r="510" spans="1:14" x14ac:dyDescent="0.25">
      <c r="A510" s="14"/>
      <c r="B510" s="3"/>
      <c r="C510" s="14"/>
      <c r="D510" s="14"/>
      <c r="E510" s="16"/>
      <c r="F510" s="21"/>
      <c r="G510" s="21"/>
      <c r="H510" s="34"/>
      <c r="I510" s="35"/>
      <c r="J510" s="19"/>
      <c r="K510" s="21"/>
      <c r="L510" s="21"/>
      <c r="M510" s="21"/>
      <c r="N510" s="21"/>
    </row>
    <row r="511" spans="1:14" x14ac:dyDescent="0.25">
      <c r="A511" s="14"/>
      <c r="B511" s="3"/>
      <c r="C511" s="14"/>
      <c r="D511" s="14"/>
      <c r="E511" s="16"/>
      <c r="F511" s="21"/>
      <c r="G511" s="21"/>
      <c r="H511" s="34"/>
      <c r="I511" s="35"/>
      <c r="J511" s="19"/>
      <c r="K511" s="21"/>
      <c r="L511" s="21"/>
      <c r="M511" s="21"/>
      <c r="N511" s="21"/>
    </row>
    <row r="512" spans="1:14" x14ac:dyDescent="0.25">
      <c r="A512" s="14"/>
      <c r="B512" s="3"/>
      <c r="C512" s="14"/>
      <c r="D512" s="14"/>
      <c r="E512" s="2"/>
      <c r="F512" s="21"/>
      <c r="G512" s="21"/>
      <c r="H512" s="34"/>
      <c r="I512" s="35"/>
      <c r="J512" s="19"/>
      <c r="K512" s="21"/>
      <c r="L512" s="21"/>
      <c r="M512" s="21"/>
      <c r="N512" s="21"/>
    </row>
  </sheetData>
  <mergeCells count="4">
    <mergeCell ref="A509:B509"/>
    <mergeCell ref="A504:B504"/>
    <mergeCell ref="A505:B505"/>
    <mergeCell ref="A507:F507"/>
  </mergeCells>
  <phoneticPr fontId="12" type="noConversion"/>
  <conditionalFormatting sqref="F3">
    <cfRule type="cellIs" dxfId="9" priority="10" operator="equal">
      <formula>"Введите наименование проекта"</formula>
    </cfRule>
  </conditionalFormatting>
  <conditionalFormatting sqref="C3">
    <cfRule type="expression" dxfId="8" priority="9">
      <formula>$C$3="Хто ты, Воен?"</formula>
    </cfRule>
  </conditionalFormatting>
  <conditionalFormatting sqref="G504:G512">
    <cfRule type="expression" dxfId="7" priority="6">
      <formula>G504="Не поставляем"</formula>
    </cfRule>
  </conditionalFormatting>
  <conditionalFormatting sqref="C504:C512">
    <cfRule type="expression" dxfId="6" priority="104">
      <formula>AND(#REF!="РЕЗЕРВ",E504="")</formula>
    </cfRule>
  </conditionalFormatting>
  <conditionalFormatting sqref="D504:D512">
    <cfRule type="expression" dxfId="5" priority="105">
      <formula>AND(#REF!="РЕЗЕРВ",#REF!="")</formula>
    </cfRule>
  </conditionalFormatting>
  <conditionalFormatting sqref="F504:F512">
    <cfRule type="expression" dxfId="4" priority="106">
      <formula>AND(F504="",NOT($E504=""),NOT(#REF!="РЕЗЕРВ"))</formula>
    </cfRule>
  </conditionalFormatting>
  <conditionalFormatting sqref="H502">
    <cfRule type="cellIs" dxfId="3" priority="4" operator="equal">
      <formula>"Проектная"</formula>
    </cfRule>
  </conditionalFormatting>
  <conditionalFormatting sqref="H502:I502">
    <cfRule type="expression" dxfId="2" priority="3">
      <formula>AND(H502="",NOT($E502=""),NOT($F502="РЕЗЕРВ"))</formula>
    </cfRule>
  </conditionalFormatting>
  <conditionalFormatting sqref="F502">
    <cfRule type="cellIs" dxfId="1" priority="2" operator="equal">
      <formula>"Проектная"</formula>
    </cfRule>
  </conditionalFormatting>
  <conditionalFormatting sqref="F502:G502">
    <cfRule type="expression" dxfId="0" priority="1">
      <formula>AND(F502="",NOT($E502=""),NOT($F502="РЕЗЕРВ"))</formula>
    </cfRule>
  </conditionalFormatting>
  <pageMargins left="0.39370078740157483" right="0.39370078740157483" top="0.39370078740157483" bottom="0.39370078740157483" header="0" footer="0"/>
  <pageSetup paperSize="9" scale="58" fitToHeight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llFirstRowFormulasDown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735BD6B-5954-46B8-BFAA-85447363F75A}">
          <x14:formula1>
            <xm:f>#REF!</xm:f>
          </x14:formula1>
          <xm:sqref>C3</xm:sqref>
        </x14:dataValidation>
        <x14:dataValidation type="list" allowBlank="1" showInputMessage="1" showErrorMessage="1" xr:uid="{D17F8117-73E6-42F6-92EC-F1542740C6B7}">
          <x14:formula1>
            <xm:f>#REF!</xm:f>
          </x14:formula1>
          <xm:sqref>F12:N12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WV 4.0</vt:lpstr>
      <vt:lpstr>КП</vt:lpstr>
      <vt:lpstr>КП!Область_печати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2026-01-20T04:25:06Z</cp:lastPrinted>
  <dcterms:created xsi:type="dcterms:W3CDTF">2025-03-07T07:02:42Z</dcterms:created>
  <dcterms:modified xsi:type="dcterms:W3CDTF">2026-07-14T05:27:41Z</dcterms:modified>
</cp:coreProperties>
</file>